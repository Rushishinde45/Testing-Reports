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shi\OneDrive\Desktop\Testing\"/>
    </mc:Choice>
  </mc:AlternateContent>
  <xr:revisionPtr revIDLastSave="0" documentId="13_ncr:1_{7E64C6DE-10FA-4B6B-98C0-C8F117D88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AT Checklist" sheetId="1" r:id="rId1"/>
    <sheet name="Summary" sheetId="2" r:id="rId2"/>
  </sheets>
  <definedNames>
    <definedName name="_xlnm._FilterDatabase" localSheetId="0" hidden="1">'UAT Checklist'!$A$1:$O$329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kY8s3QLjGpS+ZEin7RZMxQn/QqCdOmxq6yuO0BxrtM="/>
    </ext>
  </extLst>
</workbook>
</file>

<file path=xl/calcChain.xml><?xml version="1.0" encoding="utf-8"?>
<calcChain xmlns="http://schemas.openxmlformats.org/spreadsheetml/2006/main">
  <c r="C5" i="2" l="1"/>
  <c r="B5" i="2"/>
  <c r="C4" i="2"/>
  <c r="B4" i="2"/>
  <c r="C3" i="2"/>
  <c r="B3" i="2"/>
  <c r="C2" i="2"/>
  <c r="B2" i="2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E2" i="2" l="1"/>
  <c r="B9" i="2"/>
  <c r="B8" i="2"/>
  <c r="B7" i="2"/>
  <c r="E5" i="2"/>
  <c r="E3" i="2"/>
  <c r="E4" i="2"/>
</calcChain>
</file>

<file path=xl/sharedStrings.xml><?xml version="1.0" encoding="utf-8"?>
<sst xmlns="http://schemas.openxmlformats.org/spreadsheetml/2006/main" count="4272" uniqueCount="1407">
  <si>
    <t>Sr No</t>
  </si>
  <si>
    <t>Module</t>
  </si>
  <si>
    <t>Section</t>
  </si>
  <si>
    <t>Test Case ID</t>
  </si>
  <si>
    <t>Checkpoint</t>
  </si>
  <si>
    <t>Steps</t>
  </si>
  <si>
    <t>Expected Result</t>
  </si>
  <si>
    <t>Priority</t>
  </si>
  <si>
    <t>Manjali</t>
  </si>
  <si>
    <t>Aditi</t>
  </si>
  <si>
    <t>Siddhi</t>
  </si>
  <si>
    <t>Chinmay</t>
  </si>
  <si>
    <t>Tanishq</t>
  </si>
  <si>
    <t>Overall Status</t>
  </si>
  <si>
    <t>Remarks / Defect ID</t>
  </si>
  <si>
    <t>Authentication &amp; Session</t>
  </si>
  <si>
    <t>Login</t>
  </si>
  <si>
    <t>1.1.1</t>
  </si>
  <si>
    <t>Valid login with OTP</t>
  </si>
  <si>
    <t>Enter valid username + password + OTP → Submit</t>
  </si>
  <si>
    <t>Session created, redirect to dashboard, LoginLog recorded</t>
  </si>
  <si>
    <t>Critical</t>
  </si>
  <si>
    <t>☑</t>
  </si>
  <si>
    <t>☐</t>
  </si>
  <si>
    <t/>
  </si>
  <si>
    <t>1.1.2</t>
  </si>
  <si>
    <t>Wrong password</t>
  </si>
  <si>
    <t>Enter valid username + wrong password → Submit</t>
  </si>
  <si>
    <t>"Invalid credentials" error, failedLoginAttempts incremented</t>
  </si>
  <si>
    <t>1.1.3</t>
  </si>
  <si>
    <t>Wrong OTP</t>
  </si>
  <si>
    <t>Enter valid creds + wrong OTP → Submit</t>
  </si>
  <si>
    <t>"Invalid OTP" error</t>
  </si>
  <si>
    <t>1.1.4</t>
  </si>
  <si>
    <t>Account lockout after 5 attempts</t>
  </si>
  <si>
    <t>Enter wrong password 5 times</t>
  </si>
  <si>
    <t>Account locked for 15 min, "Account locked" message</t>
  </si>
  <si>
    <t>I entered 5 times wrong password but Accountant is not locked</t>
  </si>
  <si>
    <t>1.1.5</t>
  </si>
  <si>
    <t>Login while locked</t>
  </si>
  <si>
    <t>Wait &lt; 15 min, enter correct creds</t>
  </si>
  <si>
    <t>"Account locked" even with correct creds</t>
  </si>
  <si>
    <t>High</t>
  </si>
  <si>
    <t>Account wasn’t locked, so I didn’t check</t>
  </si>
  <si>
    <t>1.1.6</t>
  </si>
  <si>
    <t>Login after lockout expires</t>
  </si>
  <si>
    <t>Wait &gt; 15 min, enter correct creds</t>
  </si>
  <si>
    <t>Login succeeds, failedLoginAttempts reset</t>
  </si>
  <si>
    <t>1.1.7</t>
  </si>
  <si>
    <t>Expired password (90 days)</t>
  </si>
  <si>
    <t>Login with creds where passwordChangedAt &gt; 90 days</t>
  </si>
  <si>
    <t>Login succeeds but mustChangePassword=true, redirect to /account/security</t>
  </si>
  <si>
    <t>1.1.8</t>
  </si>
  <si>
    <t>Inactive user login</t>
  </si>
  <si>
    <t>Deactivate user, attempt login</t>
  </si>
  <si>
    <t>Login rejected</t>
  </si>
  <si>
    <t>I didn’t check it because deactivation was not working</t>
  </si>
  <si>
    <t>1.1.9</t>
  </si>
  <si>
    <t>Empty username</t>
  </si>
  <si>
    <t>Submit with blank username</t>
  </si>
  <si>
    <t>Validation error</t>
  </si>
  <si>
    <t>Medium</t>
  </si>
  <si>
    <t>1.1.10</t>
  </si>
  <si>
    <t>Empty password</t>
  </si>
  <si>
    <t>Submit with blank password</t>
  </si>
  <si>
    <t>1.1.11</t>
  </si>
  <si>
    <t>Late login detection</t>
  </si>
  <si>
    <t>Login after work start time + grace minutes (non-admin)</t>
  </si>
  <si>
    <t>LoginLog recorded with isLate=true</t>
  </si>
  <si>
    <t>1.1.12</t>
  </si>
  <si>
    <t>On-time login</t>
  </si>
  <si>
    <t>Login before work start time + grace (non-admin)</t>
  </si>
  <si>
    <t>LoginLog with isLate=false</t>
  </si>
  <si>
    <t>1.1.13</t>
  </si>
  <si>
    <t>Admin login is never late</t>
  </si>
  <si>
    <t>Admin logs in after start time</t>
  </si>
  <si>
    <t>LoginLog with isLate=false (admins exempt)</t>
  </si>
  <si>
    <t>Logout</t>
  </si>
  <si>
    <t>1.2.1</t>
  </si>
  <si>
    <t>Normal logout</t>
  </si>
  <si>
    <t>Click logout</t>
  </si>
  <si>
    <t>Session destroyed, LoginLog updated with logoutAt</t>
  </si>
  <si>
    <t>1.2.2</t>
  </si>
  <si>
    <t>Record-logout API</t>
  </si>
  <si>
    <t>POST /api/auth/record-logout</t>
  </si>
  <si>
    <t>logoutAt timestamp updated on latest LoginLog</t>
  </si>
  <si>
    <t>Password Reset</t>
  </si>
  <si>
    <t>1.3.1</t>
  </si>
  <si>
    <t>Request password reset</t>
  </si>
  <si>
    <t>Go to /forgot, enter valid email/username</t>
  </si>
  <si>
    <t>Reset email sent, PasswordResetToken created</t>
  </si>
  <si>
    <t>"something went wrong" errror msg displayed</t>
  </si>
  <si>
    <t>1.3.2</t>
  </si>
  <si>
    <t>Invalid identifier</t>
  </si>
  <si>
    <t>Enter non-existent email</t>
  </si>
  <si>
    <t>Vague success message (no user enumeration)</t>
  </si>
  <si>
    <t>1.3.3</t>
  </si>
  <si>
    <t>Complete reset with valid token</t>
  </si>
  <si>
    <t>Follow reset link, enter new password</t>
  </si>
  <si>
    <t>Password updated, token consumed</t>
  </si>
  <si>
    <t>1.3.4</t>
  </si>
  <si>
    <t>Expired/invalid token</t>
  </si>
  <si>
    <t>Use expired or tampered token</t>
  </si>
  <si>
    <t>Error message</t>
  </si>
  <si>
    <t>1.3.5</t>
  </si>
  <si>
    <t>Password mismatch</t>
  </si>
  <si>
    <t>New password ≠ confirm password</t>
  </si>
  <si>
    <t>Session Management</t>
  </si>
  <si>
    <t>1.4.1</t>
  </si>
  <si>
    <t>Session idle timeout</t>
  </si>
  <si>
    <t>Leave session idle beyond configured timeout</t>
  </si>
  <si>
    <t>Redirect to login</t>
  </si>
  <si>
    <t>1.4.2</t>
  </si>
  <si>
    <t>Forced password change blocks navigation</t>
  </si>
  <si>
    <t>User with mustChangePassword=true tries to navigate away from /account/security</t>
  </si>
  <si>
    <t>Redirected back to /account/security</t>
  </si>
  <si>
    <t>User Management</t>
  </si>
  <si>
    <t>Create User (saveUser)</t>
  </si>
  <si>
    <t>2.1.1</t>
  </si>
  <si>
    <t>Create user with all fields</t>
  </si>
  <si>
    <t>Fill fullName, email, username, role, phone, employeeCode, parentId, joiningDate, password</t>
  </si>
  <si>
    <t>User created, audit logged, revalidate /users</t>
  </si>
  <si>
    <t>2.1.2</t>
  </si>
  <si>
    <t>Missing full name</t>
  </si>
  <si>
    <t>Omit fullName</t>
  </si>
  <si>
    <t>Error: "Full name is required."</t>
  </si>
  <si>
    <t>not proper msg will be generate "please fill in this filed" this error msg will be generate</t>
  </si>
  <si>
    <t>2.1.3</t>
  </si>
  <si>
    <t>Missing email</t>
  </si>
  <si>
    <t>Omit email</t>
  </si>
  <si>
    <t>Error: "Email is required."</t>
  </si>
  <si>
    <t>2.1.4</t>
  </si>
  <si>
    <t>Missing username</t>
  </si>
  <si>
    <t>Omit username</t>
  </si>
  <si>
    <t>Error: "Username is required."</t>
  </si>
  <si>
    <t>2.1.5</t>
  </si>
  <si>
    <t>Invalid role</t>
  </si>
  <si>
    <t>Set role to "SUPERADMIN"</t>
  </si>
  <si>
    <t>Error: "Select a valid role."</t>
  </si>
  <si>
    <t>not proper msg will be generate "please select an item in the list" this error msg will be generate</t>
  </si>
  <si>
    <t>2.1.6</t>
  </si>
  <si>
    <t>Missing password on create</t>
  </si>
  <si>
    <t>Omit password for new user</t>
  </si>
  <si>
    <t>Error: "Password is required."</t>
  </si>
  <si>
    <t>2.1.7</t>
  </si>
  <si>
    <t>Duplicate email</t>
  </si>
  <si>
    <t>Use email already in database</t>
  </si>
  <si>
    <t>Prisma unique constraint error</t>
  </si>
  <si>
    <t>2.1.8</t>
  </si>
  <si>
    <t>Duplicate username</t>
  </si>
  <si>
    <t>Use username already in database</t>
  </si>
  <si>
    <t>2.1.9</t>
  </si>
  <si>
    <t>Create with each valid role</t>
  </si>
  <si>
    <t>Test ADMIN, MANAGER, TEAM_LEADER, RECRUITER, ACCOUNTANT</t>
  </si>
  <si>
    <t>Each role accepted</t>
  </si>
  <si>
    <t>2.1.10</t>
  </si>
  <si>
    <t>Optional fields omitted</t>
  </si>
  <si>
    <t>Create with only required fields</t>
  </si>
  <si>
    <t>User created with null optional fields</t>
  </si>
  <si>
    <t>Update User (saveUser with userId)</t>
  </si>
  <si>
    <t>2.2.1</t>
  </si>
  <si>
    <t>Update name and role</t>
  </si>
  <si>
    <t>Set userId + new fullName + new role</t>
  </si>
  <si>
    <t>User updated, audit logs before/after</t>
  </si>
  <si>
    <t>2.2.2</t>
  </si>
  <si>
    <t>Update password</t>
  </si>
  <si>
    <t>Set new password on existing user</t>
  </si>
  <si>
    <t>hashedPassword updated, passwordChangedAt reset, failedLoginAttempts=0, lockedUntil=null</t>
  </si>
  <si>
    <t>2.2.3</t>
  </si>
  <si>
    <t>Update without password</t>
  </si>
  <si>
    <t>Omit password field on existing user</t>
  </si>
  <si>
    <t>Password unchanged</t>
  </si>
  <si>
    <t>2.2.4</t>
  </si>
  <si>
    <t>Non-existent userId</t>
  </si>
  <si>
    <t>Set userId to invalid ID</t>
  </si>
  <si>
    <t>Prisma error (record not found)</t>
  </si>
  <si>
    <t>Toggle User (toggleUser)</t>
  </si>
  <si>
    <t>2.3.1</t>
  </si>
  <si>
    <t>Deactivate user</t>
  </si>
  <si>
    <t>toggleUser(userId, false)</t>
  </si>
  <si>
    <t>isActive=false, audit logged</t>
  </si>
  <si>
    <t xml:space="preserve">users:1  Failed to load resource: the server responded with a status of 500 ()
</t>
  </si>
  <si>
    <t>2.3.2</t>
  </si>
  <si>
    <t>Reactivate user</t>
  </si>
  <si>
    <t>toggleUser(userId, true)</t>
  </si>
  <si>
    <t>isActive=true, audit logged</t>
  </si>
  <si>
    <t>2.3.3</t>
  </si>
  <si>
    <t>Toggle non-existent user</t>
  </si>
  <si>
    <t>Pass invalid userId</t>
  </si>
  <si>
    <t>Error: "User not found."</t>
  </si>
  <si>
    <t>Employee Schedule (saveEmployeeSchedule)</t>
  </si>
  <si>
    <t>2.4.1</t>
  </si>
  <si>
    <t>Create schedule</t>
  </si>
  <si>
    <t>Set userId, startTime, endTime, day_1..day_5, graceMinutes</t>
  </si>
  <si>
    <t>EmployeeSchedule created via upsert, audit logged</t>
  </si>
  <si>
    <t>2.4.2</t>
  </si>
  <si>
    <t>Update existing schedule</t>
  </si>
  <si>
    <t>Change times on user with existing schedule</t>
  </si>
  <si>
    <t>Schedule updated (upsert)</t>
  </si>
  <si>
    <t>2.4.3</t>
  </si>
  <si>
    <t>Missing user</t>
  </si>
  <si>
    <t>Omit userId</t>
  </si>
  <si>
    <t>Error: "User is required."</t>
  </si>
  <si>
    <t>2.4.4</t>
  </si>
  <si>
    <t>Missing start time</t>
  </si>
  <si>
    <t>Omit workStartTime</t>
  </si>
  <si>
    <t>Error: "Start and end time are required."</t>
  </si>
  <si>
    <t>2.4.5</t>
  </si>
  <si>
    <t>No working days selected</t>
  </si>
  <si>
    <t>Omit all day_1 through day_7</t>
  </si>
  <si>
    <t>Error: "Select at least one working day."</t>
  </si>
  <si>
    <t>2.4.6</t>
  </si>
  <si>
    <t>Remove schedule</t>
  </si>
  <si>
    <t>removeEmployeeSchedule with valid userId</t>
  </si>
  <si>
    <t>Schedule deleted, fallback to global</t>
  </si>
  <si>
    <t>the schedule is not getting added, I can't check why it's not getting removed yet</t>
  </si>
  <si>
    <t>2.4.7</t>
  </si>
  <si>
    <t>Remove non-existent schedule</t>
  </si>
  <si>
    <t>Remove for user without custom schedule</t>
  </si>
  <si>
    <t>Success: "Already using global defaults."</t>
  </si>
  <si>
    <t>Low</t>
  </si>
  <si>
    <t>RBAC &amp; Permissions</t>
  </si>
  <si>
    <t>3.1</t>
  </si>
  <si>
    <t>ADMIN has all permissions</t>
  </si>
  <si>
    <t>Check can("ADMIN", perm) for every permission</t>
  </si>
  <si>
    <t>All return true</t>
  </si>
  <si>
    <t>3.2</t>
  </si>
  <si>
    <t>RECRUITER cannot manage users</t>
  </si>
  <si>
    <t>can("RECRUITER", "users:manage")</t>
  </si>
  <si>
    <t>Returns false/undefined</t>
  </si>
  <si>
    <t>3.3</t>
  </si>
  <si>
    <t>RECRUITER can create candidates</t>
  </si>
  <si>
    <t>can("RECRUITER", "candidates:create")</t>
  </si>
  <si>
    <t>Returns true</t>
  </si>
  <si>
    <t>3.4</t>
  </si>
  <si>
    <t>ACCOUNTANT has billing:full</t>
  </si>
  <si>
    <t>can("ACCOUNTANT", "billing:full")</t>
  </si>
  <si>
    <t>3.5</t>
  </si>
  <si>
    <t>ACCOUNTANT cannot manage attendance</t>
  </si>
  <si>
    <t>can("ACCOUNTANT", "attendance:manage")</t>
  </si>
  <si>
    <t>Returns false</t>
  </si>
  <si>
    <t>3.6</t>
  </si>
  <si>
    <t>MANAGER cannot manage billing</t>
  </si>
  <si>
    <t>can("MANAGER", "billing:full")</t>
  </si>
  <si>
    <t>3.7</t>
  </si>
  <si>
    <t>TEAM_LEADER can assign jobs</t>
  </si>
  <si>
    <t>can("TEAM_LEADER", "jobs:assign")</t>
  </si>
  <si>
    <t>3.8</t>
  </si>
  <si>
    <t>TEAM_LEADER cannot create jobs</t>
  </si>
  <si>
    <t>can("TEAM_LEADER", "jobs:full")</t>
  </si>
  <si>
    <t>3.9</t>
  </si>
  <si>
    <t>Invalid role string</t>
  </si>
  <si>
    <t>isPortalRole("SUPERADMIN")</t>
  </si>
  <si>
    <t>3.10</t>
  </si>
  <si>
    <t>Undefined role</t>
  </si>
  <si>
    <t>isPortalRole(undefined)</t>
  </si>
  <si>
    <t>Permission Enforcement on Server Actions</t>
  </si>
  <si>
    <t>3.11.1</t>
  </si>
  <si>
    <t>RECRUITER calls saveUser</t>
  </si>
  <si>
    <t>Login as RECRUITER, call saveUser action</t>
  </si>
  <si>
    <t>Error: "Admin permissions are required."</t>
  </si>
  <si>
    <t>no user option to create an user</t>
  </si>
  <si>
    <t>3.11.2</t>
  </si>
  <si>
    <t>RECRUITER calls grantLeaveAction</t>
  </si>
  <si>
    <t>Login as RECRUITER, call grantLeaveAction</t>
  </si>
  <si>
    <t>Error: "Permission denied"</t>
  </si>
  <si>
    <t>recruiter have no option to grant leave</t>
  </si>
  <si>
    <t>3.11.3</t>
  </si>
  <si>
    <t>RECRUITER calls createClient</t>
  </si>
  <si>
    <t>Login as RECRUITER, call createClient</t>
  </si>
  <si>
    <t>Error: "You do not have permission to modify client records."</t>
  </si>
  <si>
    <t>3.11.4</t>
  </si>
  <si>
    <t>RECRUITER calls createCandidate</t>
  </si>
  <si>
    <t>Login as RECRUITER, call createCandidate</t>
  </si>
  <si>
    <t>Succeeds (has candidates:create)</t>
  </si>
  <si>
    <t>3.11.5</t>
  </si>
  <si>
    <t>ACCOUNTANT calls createInvoice</t>
  </si>
  <si>
    <t>Login as ACCOUNTANT, call createInvoice</t>
  </si>
  <si>
    <t>Succeeds (has billing:full)</t>
  </si>
  <si>
    <t>3.11.6</t>
  </si>
  <si>
    <t>MANAGER calls updateJobStatus</t>
  </si>
  <si>
    <t>Login as MANAGER, call updateJobStatus</t>
  </si>
  <si>
    <t>Succeeds (has jobs:full)</t>
  </si>
  <si>
    <t>3.11.7</t>
  </si>
  <si>
    <t>TEAM_LEADER calls bulkUpdateCandidateStatus</t>
  </si>
  <si>
    <t>Login as TL, call bulkUpdateCandidateStatus</t>
  </si>
  <si>
    <t>Succeeds (has candidates:full)</t>
  </si>
  <si>
    <t>i uploaded valid file but still comes up issue "name is required"</t>
  </si>
  <si>
    <t>3.11.8</t>
  </si>
  <si>
    <t>Unauthenticated request</t>
  </si>
  <si>
    <t>No session, call any server action</t>
  </si>
  <si>
    <t>Error: permission denied or session error</t>
  </si>
  <si>
    <t>Client Management</t>
  </si>
  <si>
    <t>Create Client (createClient)</t>
  </si>
  <si>
    <t>4.1.1</t>
  </si>
  <si>
    <t>Valid client with all fields</t>
  </si>
  <si>
    <t>Fill all required fields + MSA file upload</t>
  </si>
  <si>
    <t>Client created, clientCode generated (e.g. TCS00001), MSA record created, audit logged</t>
  </si>
  <si>
    <t>4.1.2</t>
  </si>
  <si>
    <t>Missing client name</t>
  </si>
  <si>
    <t>Omit name</t>
  </si>
  <si>
    <t>Error: "Client name is required"</t>
  </si>
  <si>
    <t>4.1.3</t>
  </si>
  <si>
    <t>Missing primary contact</t>
  </si>
  <si>
    <t>Omit primaryContactName, Phone, or Email</t>
  </si>
  <si>
    <t>Error for respective field</t>
  </si>
  <si>
    <t>accepting negative number</t>
  </si>
  <si>
    <t>4.1.4</t>
  </si>
  <si>
    <t>Missing GST number</t>
  </si>
  <si>
    <t>Omit gstNumber</t>
  </si>
  <si>
    <t>Error: "GST number is required"</t>
  </si>
  <si>
    <t>4.1.5</t>
  </si>
  <si>
    <t>Missing PAN number</t>
  </si>
  <si>
    <t>Omit panNumber</t>
  </si>
  <si>
    <t>Error: "PAN number is required"</t>
  </si>
  <si>
    <t>4.1.6</t>
  </si>
  <si>
    <t>Missing address</t>
  </si>
  <si>
    <t>Omit address</t>
  </si>
  <si>
    <t>Error: "Address is required"</t>
  </si>
  <si>
    <t>4.1.7</t>
  </si>
  <si>
    <t>No industries selected</t>
  </si>
  <si>
    <t>Submit empty industries array</t>
  </si>
  <si>
    <t>Error: "Select at least one industry"</t>
  </si>
  <si>
    <t>4.1.8</t>
  </si>
  <si>
    <t>Missing MSA dates</t>
  </si>
  <si>
    <t>Omit msaStart or msaEnd</t>
  </si>
  <si>
    <t>Error: "MSA dates are required"</t>
  </si>
  <si>
    <t>4.1.9</t>
  </si>
  <si>
    <t>Client without MSA file</t>
  </si>
  <si>
    <t>Submit without file (only dates)</t>
  </si>
  <si>
    <t>Client created without ClientMSA record, client still has msaStartDate/msaEndDate</t>
  </si>
  <si>
    <t>4.1.10</t>
  </si>
  <si>
    <t>Optional secondary contact</t>
  </si>
  <si>
    <t>Fill only primary contact fields</t>
  </si>
  <si>
    <t>Client created with null secondary fields</t>
  </si>
  <si>
    <t>4.1.11</t>
  </si>
  <si>
    <t>Client code uniqueness</t>
  </si>
  <si>
    <t>Create two clients with same name prefix</t>
  </si>
  <si>
    <t>Both get unique codes (TCS00001, TCS00002)</t>
  </si>
  <si>
    <t>Toggle Client Status (toggleClientStatus)</t>
  </si>
  <si>
    <t>4.2.1</t>
  </si>
  <si>
    <t>Deactivate client</t>
  </si>
  <si>
    <t>toggleClientStatus(id, "INACTIVE")</t>
  </si>
  <si>
    <t>Status changed, audit logged with before/after</t>
  </si>
  <si>
    <t>4.2.2</t>
  </si>
  <si>
    <t>Reactivate client</t>
  </si>
  <si>
    <t>toggleClientStatus(id, "ACTIVE")</t>
  </si>
  <si>
    <t>Status changed back</t>
  </si>
  <si>
    <t>4.2.3</t>
  </si>
  <si>
    <t>Invalid client ID</t>
  </si>
  <si>
    <t>Pass non-existent ID</t>
  </si>
  <si>
    <t>MSA Reminder Digest (sendMsaReminderDigest)</t>
  </si>
  <si>
    <t>4.3.1</t>
  </si>
  <si>
    <t>Clients within 60-day window</t>
  </si>
  <si>
    <t>Create client with MSA ending in &lt; 60 days, run digest</t>
  </si>
  <si>
    <t>Email sent with summary</t>
  </si>
  <si>
    <t>The email is clickable, but I'm unable to verify if the email was sent</t>
  </si>
  <si>
    <t>4.3.2</t>
  </si>
  <si>
    <t>No clients in window</t>
  </si>
  <si>
    <t>All MSAs &gt; 60 days out</t>
  </si>
  <si>
    <t>"No clients are within the 60-day MSA window."</t>
  </si>
  <si>
    <t>Job Requirements</t>
  </si>
  <si>
    <t>Create Job (createJobRequirement)</t>
  </si>
  <si>
    <t>5.1.1</t>
  </si>
  <si>
    <t>Admin creates open job</t>
  </si>
  <si>
    <t>Login as ADMIN, fill all fields, status=OPEN</t>
  </si>
  <si>
    <t>Job created with status=OPEN</t>
  </si>
  <si>
    <t>5.1.2</t>
  </si>
  <si>
    <t>Non-admin creates job</t>
  </si>
  <si>
    <t>Login as MANAGER, create job with status=OPEN</t>
  </si>
  <si>
    <t>Job created with status=PENDING_APPROVAL (forced)</t>
  </si>
  <si>
    <t>5.1.3</t>
  </si>
  <si>
    <t>Missing client</t>
  </si>
  <si>
    <t>Omit client</t>
  </si>
  <si>
    <t>Error: "Client is required."</t>
  </si>
  <si>
    <t>5.1.4</t>
  </si>
  <si>
    <t>Missing position title</t>
  </si>
  <si>
    <t>Omit positionTitle</t>
  </si>
  <si>
    <t>Error: "Position title is required."</t>
  </si>
  <si>
    <t>5.1.5</t>
  </si>
  <si>
    <t>Zero openings</t>
  </si>
  <si>
    <t>Set openings=0</t>
  </si>
  <si>
    <t>Error: "Openings must be a positive integer."</t>
  </si>
  <si>
    <t>5.1.6</t>
  </si>
  <si>
    <t>Negative openings</t>
  </si>
  <si>
    <t>Set openings=-1</t>
  </si>
  <si>
    <t>5.1.7</t>
  </si>
  <si>
    <t>Non-integer openings</t>
  </si>
  <si>
    <t>Set openings=1.5</t>
  </si>
  <si>
    <t>5.1.8</t>
  </si>
  <si>
    <t>Missing location</t>
  </si>
  <si>
    <t>Omit location</t>
  </si>
  <si>
    <t>Error: "Location is required."</t>
  </si>
  <si>
    <t>5.1.9</t>
  </si>
  <si>
    <t>Experience min &gt; max</t>
  </si>
  <si>
    <t>Set min=10, max=5</t>
  </si>
  <si>
    <t>Error: "Experience min cannot exceed max."</t>
  </si>
  <si>
    <t>5.1.10</t>
  </si>
  <si>
    <t>Negative experience</t>
  </si>
  <si>
    <t>Set min=-1</t>
  </si>
  <si>
    <t>Error: "Experience range must be numeric."</t>
  </si>
  <si>
    <t>5.1.11</t>
  </si>
  <si>
    <t>Assign recruiters on create</t>
  </si>
  <si>
    <t>Pass recruiterIds array</t>
  </si>
  <si>
    <t>JobAssignment records created</t>
  </si>
  <si>
    <t>5.1.12</t>
  </si>
  <si>
    <t>Job code generation</t>
  </si>
  <si>
    <t>Create job for client TCS</t>
  </si>
  <si>
    <t>jobCode like TCS0001, unique</t>
  </si>
  <si>
    <t>I couldn't check it because the client is not being created.</t>
  </si>
  <si>
    <t>5.1.13</t>
  </si>
  <si>
    <t>Non-existent client</t>
  </si>
  <si>
    <t>Pass fake clientId</t>
  </si>
  <si>
    <t>Error: "Client not found."</t>
  </si>
  <si>
    <t>I couldn't check it because the job is not being created.</t>
  </si>
  <si>
    <t>Job Status Transitions</t>
  </si>
  <si>
    <t>5.2.1</t>
  </si>
  <si>
    <t>Admin approves pending job</t>
  </si>
  <si>
    <t>approveJob(jobId) as ADMIN</t>
  </si>
  <si>
    <t>Status → OPEN</t>
  </si>
  <si>
    <t>5.2.2</t>
  </si>
  <si>
    <t>Non-admin tries to approve</t>
  </si>
  <si>
    <t>approveJob(jobId) as MANAGER</t>
  </si>
  <si>
    <t>Error: "Only admins can approve jobs."</t>
  </si>
  <si>
    <t>5.2.3</t>
  </si>
  <si>
    <t>Approve already-open job</t>
  </si>
  <si>
    <t>approveJob(jobId) where status=OPEN</t>
  </si>
  <si>
    <t>Error: "Only pending or on-hold jobs can be approved."</t>
  </si>
  <si>
    <t>5.2.4</t>
  </si>
  <si>
    <t>Submit for approval</t>
  </si>
  <si>
    <t>submitJobForApproval(jobId)</t>
  </si>
  <si>
    <t>Status → PENDING_APPROVAL</t>
  </si>
  <si>
    <t>5.2.5</t>
  </si>
  <si>
    <t>Submit already-open job</t>
  </si>
  <si>
    <t>submitJobForApproval(jobId) where status=OPEN</t>
  </si>
  <si>
    <t>Error: "Job is already open."</t>
  </si>
  <si>
    <t>5.2.6</t>
  </si>
  <si>
    <t>Submit already-pending job</t>
  </si>
  <si>
    <t>submitJobForApproval(jobId) where status=PENDING_APPROVAL</t>
  </si>
  <si>
    <t>Error: "Job is already awaiting approval."</t>
  </si>
  <si>
    <t>5.2.7</t>
  </si>
  <si>
    <t>Non-admin sets status to OPEN</t>
  </si>
  <si>
    <t>updateJobStatus(id, "OPEN") as MANAGER</t>
  </si>
  <si>
    <t>Error: "Only admins can approve and open jobs."</t>
  </si>
  <si>
    <t>5.2.8</t>
  </si>
  <si>
    <t>Non-admin moves pending job</t>
  </si>
  <si>
    <t>MANAGER changes PENDING_APPROVAL to ON_HOLD</t>
  </si>
  <si>
    <t>Error: "Only admins can move jobs awaiting approval."</t>
  </si>
  <si>
    <t>5.2.9</t>
  </si>
  <si>
    <t>Update non-existent job</t>
  </si>
  <si>
    <t>updateJobStatus("fake", "OPEN")</t>
  </si>
  <si>
    <t>Error: "Job not found."</t>
  </si>
  <si>
    <t>5.2.10</t>
  </si>
  <si>
    <t>Invalid status value</t>
  </si>
  <si>
    <t>updateJobStatus(id, "INVALID")</t>
  </si>
  <si>
    <t>Error: "Invalid status."</t>
  </si>
  <si>
    <t>Assign Recruiters (assignRecruiters)</t>
  </si>
  <si>
    <t>5.3.1</t>
  </si>
  <si>
    <t>Assign multiple recruiters</t>
  </si>
  <si>
    <t>assignRecruiters(jobId, [r1, r2])</t>
  </si>
  <si>
    <t>Old assignments deleted, new ones created</t>
  </si>
  <si>
    <t>5.3.2</t>
  </si>
  <si>
    <t>Reassign (replace)</t>
  </si>
  <si>
    <t>Assign [r1], then assign [r2, r3]</t>
  </si>
  <si>
    <t>Only r2, r3 remain</t>
  </si>
  <si>
    <t>5.3.3</t>
  </si>
  <si>
    <t>Empty recruiter list</t>
  </si>
  <si>
    <t>assignRecruiters(jobId, [])</t>
  </si>
  <si>
    <t>All assignments cleared</t>
  </si>
  <si>
    <t>Candidate Management</t>
  </si>
  <si>
    <t>Create Candidate (createCandidate)</t>
  </si>
  <si>
    <t>6.1.1</t>
  </si>
  <si>
    <t>Valid candidate with all fields</t>
  </si>
  <si>
    <t>Fill fullName, primaryPhone, email, all optional fields</t>
  </si>
  <si>
    <t>Candidate created, phones created, candidateCode generated (CAND0001)</t>
  </si>
  <si>
    <t>6.1.2</t>
  </si>
  <si>
    <t>6.1.3</t>
  </si>
  <si>
    <t>Invalid name (numbers)</t>
  </si>
  <si>
    <t>Set fullName to "John123"</t>
  </si>
  <si>
    <t>Error from validateCandidateName</t>
  </si>
  <si>
    <t>6.1.4</t>
  </si>
  <si>
    <t>Name auto-formatting</t>
  </si>
  <si>
    <t>Enter "sHRUTI vAID"</t>
  </si>
  <si>
    <t>Stored as "Shruti Vaid" (proper case)</t>
  </si>
  <si>
    <t>6.1.5</t>
  </si>
  <si>
    <t>Missing primary phone</t>
  </si>
  <si>
    <t>Omit primaryPhone</t>
  </si>
  <si>
    <t>Error: "Primary phone is required."</t>
  </si>
  <si>
    <t>6.1.6</t>
  </si>
  <si>
    <t>Phone not 10 digits</t>
  </si>
  <si>
    <t>Enter "12345"</t>
  </si>
  <si>
    <t>Error: "Primary phone must be a 10-digit number."</t>
  </si>
  <si>
    <t>6.1.7</t>
  </si>
  <si>
    <t>Duplicate phone within form</t>
  </si>
  <si>
    <t>Set primaryPhone = secondaryPhone</t>
  </si>
  <si>
    <t>Error: "Duplicate phone numbers are not allowed within the same candidate."</t>
  </si>
  <si>
    <t>6.1.8</t>
  </si>
  <si>
    <t>Phone already in database</t>
  </si>
  <si>
    <t>Use phone number that exists for another candidate</t>
  </si>
  <si>
    <t>Error: "Phone number XXXXXXXXXX already exists in the database."</t>
  </si>
  <si>
    <t>6.1.9</t>
  </si>
  <si>
    <t>Invalid email format</t>
  </si>
  <si>
    <t>Enter "not-an-email"</t>
  </si>
  <si>
    <t>Error from validateEmail</t>
  </si>
  <si>
    <t>6.1.10</t>
  </si>
  <si>
    <t>Valid email</t>
  </si>
  <si>
    <t>Enter "test@example.com"</t>
  </si>
  <si>
    <t>Stored as-is</t>
  </si>
  <si>
    <t>6.1.11</t>
  </si>
  <si>
    <t>Only provide name + phone</t>
  </si>
  <si>
    <t>Candidate created with null optional fields</t>
  </si>
  <si>
    <t>6.1.12</t>
  </si>
  <si>
    <t>Invalid noticePeriod enum</t>
  </si>
  <si>
    <t>Set to "DAYS_45"</t>
  </si>
  <si>
    <t>Stored as null (ignored)</t>
  </si>
  <si>
    <t>6.1.13</t>
  </si>
  <si>
    <t>Valid noticePeriod</t>
  </si>
  <si>
    <t>Set to "DAYS_30"</t>
  </si>
  <si>
    <t>Stored correctly</t>
  </si>
  <si>
    <t>6.1.14</t>
  </si>
  <si>
    <t>With job assignment</t>
  </si>
  <si>
    <t>Select client, job, and journey status</t>
  </si>
  <si>
    <t>CandidateApplication created</t>
  </si>
  <si>
    <t>6.1.15</t>
  </si>
  <si>
    <t>Without job assignment</t>
  </si>
  <si>
    <t>Skip position assignment section</t>
  </si>
  <si>
    <t>No CandidateApplication created</t>
  </si>
  <si>
    <t>6.1.16</t>
  </si>
  <si>
    <t>Resume upload</t>
  </si>
  <si>
    <t>Attach PDF file</t>
  </si>
  <si>
    <t>resumeUrl and resumeFileKey populated</t>
  </si>
  <si>
    <t>6.1.17</t>
  </si>
  <si>
    <t>Multiple phones (all 4)</t>
  </si>
  <si>
    <t>Fill all 4 phone fields with unique numbers</t>
  </si>
  <si>
    <t>4 CandidatePhone records, sortOrder 0-3</t>
  </si>
  <si>
    <t>6.1.18</t>
  </si>
  <si>
    <t>Candidate code auto-increment</t>
  </si>
  <si>
    <t>Create two candidates</t>
  </si>
  <si>
    <t>Codes are sequential (CAND0001, CAND0002)</t>
  </si>
  <si>
    <t>I couldn't check it because the candidate is not being created.</t>
  </si>
  <si>
    <t>Merge Candidate (createCandidate with mergeIntoId)</t>
  </si>
  <si>
    <t>6.2.1</t>
  </si>
  <si>
    <t>Merge into existing</t>
  </si>
  <si>
    <t>Set merge Into Id, fill form</t>
  </si>
  <si>
    <t>Existing candidate updated, new phones added, audit action="merge"</t>
  </si>
  <si>
    <t>There is no option available to merge.</t>
  </si>
  <si>
    <t>6.2.2</t>
  </si>
  <si>
    <t>Merge with non-existent target</t>
  </si>
  <si>
    <t>Set mergeIntoId to fake ID</t>
  </si>
  <si>
    <t>Error: "Target candidate for merge not found."</t>
  </si>
  <si>
    <t>6.2.3</t>
  </si>
  <si>
    <t>Merge adds new phones</t>
  </si>
  <si>
    <t>Existing has phone A, form has phone B</t>
  </si>
  <si>
    <t>Both phones exist after merge</t>
  </si>
  <si>
    <t>6.2.4</t>
  </si>
  <si>
    <t>Merge skips existing phones</t>
  </si>
  <si>
    <t>Both existing and form have same phone</t>
  </si>
  <si>
    <t>No duplicate phone created</t>
  </si>
  <si>
    <t>6.2.5</t>
  </si>
  <si>
    <t>Merge appends remarks</t>
  </si>
  <si>
    <t>Existing has remarks, form has remarks</t>
  </si>
  <si>
    <t>Remarks concatenated with [Merged timestamp] prefix</t>
  </si>
  <si>
    <t>6.2.6</t>
  </si>
  <si>
    <t>Merge with job assignment</t>
  </si>
  <si>
    <t>Set mergeIntoId + client/job/status</t>
  </si>
  <si>
    <t>CandidateApplication created for existing candidate</t>
  </si>
  <si>
    <t>6.2.7</t>
  </si>
  <si>
    <t>Merge phone conflicts with third candidate</t>
  </si>
  <si>
    <t>Form phone exists for candidate C (not merge target)</t>
  </si>
  <si>
    <t>Error: "Phone number exists in the database."</t>
  </si>
  <si>
    <t>Redeploy Candidate (redeployCandidate)</t>
  </si>
  <si>
    <t>6.3.1</t>
  </si>
  <si>
    <t>Valid redeploy</t>
  </si>
  <si>
    <t>Select candidate, new job, status, remarks</t>
  </si>
  <si>
    <t>Old applications deactivated, new one created, journey event logged</t>
  </si>
  <si>
    <t>6.3.2</t>
  </si>
  <si>
    <t>Already active on same job</t>
  </si>
  <si>
    <t>Redeploy to same job that's already active</t>
  </si>
  <si>
    <t>Error: "Candidate already has an active application for this job."</t>
  </si>
  <si>
    <t>6.3.3</t>
  </si>
  <si>
    <t>Non-existent candidate</t>
  </si>
  <si>
    <t>Fake candidateId</t>
  </si>
  <si>
    <t>Error: "Candidate not found."</t>
  </si>
  <si>
    <t>6.3.4</t>
  </si>
  <si>
    <t>Non-existent job</t>
  </si>
  <si>
    <t>Fake jobId</t>
  </si>
  <si>
    <t>6.3.5</t>
  </si>
  <si>
    <t>Remarks appended</t>
  </si>
  <si>
    <t>Provide remarks</t>
  </si>
  <si>
    <t>Candidate.remarks updated with timestamp prefix</t>
  </si>
  <si>
    <t>Duplicate Candidate Detection</t>
  </si>
  <si>
    <t>7.1</t>
  </si>
  <si>
    <t>Phone match</t>
  </si>
  <si>
    <t>Enter phone that exists in DB</t>
  </si>
  <si>
    <t>Match returned with reason "Phone match: XXXXXXXXXX"</t>
  </si>
  <si>
    <t>7.2</t>
  </si>
  <si>
    <t>Email match (case-insensitive)</t>
  </si>
  <si>
    <t>Enter "TEST@EXAMPLE.COM" when "test@example.com" exists</t>
  </si>
  <si>
    <t>Match returned</t>
  </si>
  <si>
    <t>7.3</t>
  </si>
  <si>
    <t>Name match (case-insensitive)</t>
  </si>
  <si>
    <t>Enter "Shruti Vaid" when "SHRUTI VAID" exists</t>
  </si>
  <si>
    <t>7.4</t>
  </si>
  <si>
    <t>Multiple match reasons</t>
  </si>
  <si>
    <t>Same candidate matches on phone AND email</t>
  </si>
  <si>
    <t>Both reasons shown</t>
  </si>
  <si>
    <t>7.5</t>
  </si>
  <si>
    <t>No matches</t>
  </si>
  <si>
    <t>Enter entirely new data</t>
  </si>
  <si>
    <t>hasDuplicates: false, empty matches array</t>
  </si>
  <si>
    <t>7.6</t>
  </si>
  <si>
    <t>Short name ignored</t>
  </si>
  <si>
    <t>Enter 2-char name "AB"</t>
  </si>
  <si>
    <t>Name not searched (&lt; 3 chars)</t>
  </si>
  <si>
    <t>7.7</t>
  </si>
  <si>
    <t>Max 5 results</t>
  </si>
  <si>
    <t>Database has 10 duplicates</t>
  </si>
  <si>
    <t>Only 5 returned</t>
  </si>
  <si>
    <t>7.8</t>
  </si>
  <si>
    <t>Blur triggers check</t>
  </si>
  <si>
    <t>Tab out of phone/email/name field</t>
  </si>
  <si>
    <t>Duplicate check fires after 600ms debounce</t>
  </si>
  <si>
    <t>7.9</t>
  </si>
  <si>
    <t>Dismiss hides alert</t>
  </si>
  <si>
    <t>Click X on duplicate alert</t>
  </si>
  <si>
    <t>Alert hidden, duplicatesDismissed=true, no more checks</t>
  </si>
  <si>
    <t>7.10</t>
  </si>
  <si>
    <t>Merge button sets mergeIntoId</t>
  </si>
  <si>
    <t>Click "Merge" on a match</t>
  </si>
  <si>
    <t>Hidden mergeIntoId field set, alert cleared, button text changes to "Merge into Existing"</t>
  </si>
  <si>
    <t>7.11</t>
  </si>
  <si>
    <t>Cancel merge</t>
  </si>
  <si>
    <t>Click "Cancel merge" banner</t>
  </si>
  <si>
    <t>mergeIntoId cleared, button reverts to "Create Candidate"</t>
  </si>
  <si>
    <t>7.12</t>
  </si>
  <si>
    <t>Form submit after dismiss</t>
  </si>
  <si>
    <t>Dismiss duplicates then submit</t>
  </si>
  <si>
    <t>New candidate created (no merge)</t>
  </si>
  <si>
    <t>7.13</t>
  </si>
  <si>
    <t>Multiple phones checked</t>
  </si>
  <si>
    <t>Fill primary + secondary phone</t>
  </si>
  <si>
    <t>Both checked against DB</t>
  </si>
  <si>
    <t>7.14</t>
  </si>
  <si>
    <t>Incomplete phone ignored</t>
  </si>
  <si>
    <t>Enter 5 digits in phone field, blur</t>
  </si>
  <si>
    <t>Not included in check (&lt; 10 digits)</t>
  </si>
  <si>
    <t>Bulk Operations</t>
  </si>
  <si>
    <t>Bulk Import Candidates</t>
  </si>
  <si>
    <t>8.1.1</t>
  </si>
  <si>
    <t>Valid bulk import</t>
  </si>
  <si>
    <t>Submit JSON array with 3 valid rows</t>
  </si>
  <si>
    <t>created=3, errors=[]</t>
  </si>
  <si>
    <t>8.1.2</t>
  </si>
  <si>
    <t>Empty rows</t>
  </si>
  <si>
    <t>Submit empty string</t>
  </si>
  <si>
    <t>Error: "No rows provided"</t>
  </si>
  <si>
    <t>8.1.3</t>
  </si>
  <si>
    <t>Invalid JSON</t>
  </si>
  <si>
    <t>Submit malformed JSON</t>
  </si>
  <si>
    <t>Error: "Invalid rows payload"</t>
  </si>
  <si>
    <t>8.1.4</t>
  </si>
  <si>
    <t>Row missing name</t>
  </si>
  <si>
    <t>Row with empty name</t>
  </si>
  <si>
    <t>Error: "Row N: Name is required"</t>
  </si>
  <si>
    <t>8.1.5</t>
  </si>
  <si>
    <t>Row missing phone</t>
  </si>
  <si>
    <t>Row without phone1 or phone2</t>
  </si>
  <si>
    <t>Error: "Row N: At least one 10-digit phone is required"</t>
  </si>
  <si>
    <t>8.1.6</t>
  </si>
  <si>
    <t>Row with phone1="12345"</t>
  </si>
  <si>
    <t>Error: "Row N: Phone numbers must be 10 digits"</t>
  </si>
  <si>
    <t>8.1.7</t>
  </si>
  <si>
    <t>Duplicate phone across rows</t>
  </si>
  <si>
    <t>Row 1 and Row 2 have same phone</t>
  </si>
  <si>
    <t>Row 2 fails with unique constraint, Row 1 succeeds</t>
  </si>
  <si>
    <t>8.1.8</t>
  </si>
  <si>
    <t>Mixed success/failure</t>
  </si>
  <si>
    <t>5 rows: 3 valid, 2 invalid</t>
  </si>
  <si>
    <t>created=3, errors=[2 error messages]</t>
  </si>
  <si>
    <t>8.1.9</t>
  </si>
  <si>
    <t>Optional fields</t>
  </si>
  <si>
    <t>Row with only name + phone1</t>
  </si>
  <si>
    <t>Created with null email, location, experience</t>
  </si>
  <si>
    <t>Bulk Status Update</t>
  </si>
  <si>
    <t>8.2.1</t>
  </si>
  <si>
    <t>Update 3 applications</t>
  </si>
  <si>
    <t>Select status + 3 valid app IDs</t>
  </si>
  <si>
    <t>All 3 updated, journey events created for each</t>
  </si>
  <si>
    <t>8.2.2</t>
  </si>
  <si>
    <t>Invalid status</t>
  </si>
  <si>
    <t>Set status="INVALID"</t>
  </si>
  <si>
    <t>Error: "Select a valid status."</t>
  </si>
  <si>
    <t>There is no option available to valid and invalid.</t>
  </si>
  <si>
    <t>8.2.3</t>
  </si>
  <si>
    <t>Empty selection</t>
  </si>
  <si>
    <t>No application IDs</t>
  </si>
  <si>
    <t>Error: "No candidates selected."</t>
  </si>
  <si>
    <t>8.2.4</t>
  </si>
  <si>
    <t>Some IDs invalid</t>
  </si>
  <si>
    <t>Mix of valid and non-existent IDs</t>
  </si>
  <si>
    <t>Valid ones updated, skipped count in message</t>
  </si>
  <si>
    <t>8.2.5</t>
  </si>
  <si>
    <t>All IDs invalid</t>
  </si>
  <si>
    <t>All non-existent IDs</t>
  </si>
  <si>
    <t>Error: "No valid candidate applications found."</t>
  </si>
  <si>
    <t>8.2.6</t>
  </si>
  <si>
    <t>Inactive application skipped</t>
  </si>
  <si>
    <t>Include ID of deactivated application</t>
  </si>
  <si>
    <t>Skipped (query filters isActive: true)</t>
  </si>
  <si>
    <t>8.2.7</t>
  </si>
  <si>
    <t>With remarks</t>
  </si>
  <si>
    <t>Provide custom remarks</t>
  </si>
  <si>
    <t>Remarks stored in journey events</t>
  </si>
  <si>
    <t>8.2.8</t>
  </si>
  <si>
    <t>Without remarks</t>
  </si>
  <si>
    <t>Omit remarks</t>
  </si>
  <si>
    <t>Default: "Bulk status update"</t>
  </si>
  <si>
    <t>CRM (Call Dispositions)</t>
  </si>
  <si>
    <t>Create CRM Entry (createCrmEntry)</t>
  </si>
  <si>
    <t>9.1.1</t>
  </si>
  <si>
    <t>Valid CRM entry</t>
  </si>
  <si>
    <t>Fill candidateApplicationId, recruiterId, contactStatus=CONTACTABLE, disposition=INTERESTED, remarks</t>
  </si>
  <si>
    <t>CRM entry created, audit logged</t>
  </si>
  <si>
    <t>9.1.2</t>
  </si>
  <si>
    <t>Missing application ID</t>
  </si>
  <si>
    <t>Omit candidateApplicationId</t>
  </si>
  <si>
    <t>Error: "Candidate application is required."</t>
  </si>
  <si>
    <t>9.1.3</t>
  </si>
  <si>
    <t>Missing recruiter</t>
  </si>
  <si>
    <t>Omit recruiterId</t>
  </si>
  <si>
    <t>Error: "Recruiter is required."</t>
  </si>
  <si>
    <t>9.1.4</t>
  </si>
  <si>
    <t>Invalid contact status</t>
  </si>
  <si>
    <t>Set to "MAYBE"</t>
  </si>
  <si>
    <t>Error: "Invalid value for contact status."</t>
  </si>
  <si>
    <t>9.1.5</t>
  </si>
  <si>
    <t>Valid CONTACTABLE status</t>
  </si>
  <si>
    <t>contactStatus=CONTACTABLE</t>
  </si>
  <si>
    <t>Accepted</t>
  </si>
  <si>
    <t>9.1.6</t>
  </si>
  <si>
    <t>Valid NON_CONTACTABLE status</t>
  </si>
  <si>
    <t>contactStatus=NON_CONTACTABLE</t>
  </si>
  <si>
    <t>9.1.7</t>
  </si>
  <si>
    <t>Invalid disposition</t>
  </si>
  <si>
    <t>Set to "UNKNOWN"</t>
  </si>
  <si>
    <t>Error: "Invalid value for disposition."</t>
  </si>
  <si>
    <t>9.1.8</t>
  </si>
  <si>
    <t>All 20 dispositions</t>
  </si>
  <si>
    <t>Test each: WRONG_NUMBER, NUMBER_NOT_REACHABLE, LINE_RINGING, SWITCHED_OFF, CALLBACK, INTERESTED, NOT_INTERESTED, etc.</t>
  </si>
  <si>
    <t>Each accepted</t>
  </si>
  <si>
    <t>9.1.9</t>
  </si>
  <si>
    <t>With sub-disposition</t>
  </si>
  <si>
    <t>Set disposition + valid subDisposition</t>
  </si>
  <si>
    <t>Both stored</t>
  </si>
  <si>
    <t>9.1.10</t>
  </si>
  <si>
    <t>Invalid sub-disposition</t>
  </si>
  <si>
    <t>Set subDisposition="INVALID"</t>
  </si>
  <si>
    <t>Error: "Invalid value for sub-disposition."</t>
  </si>
  <si>
    <t>9.1.11</t>
  </si>
  <si>
    <t>Missing remarks</t>
  </si>
  <si>
    <t>Error: "Remarks is required."</t>
  </si>
  <si>
    <t>9.1.12</t>
  </si>
  <si>
    <t>Custom occurredAt</t>
  </si>
  <si>
    <t>Set specific date/time</t>
  </si>
  <si>
    <t>Stored as provided</t>
  </si>
  <si>
    <t>9.1.13</t>
  </si>
  <si>
    <t>Omit occurredAt</t>
  </si>
  <si>
    <t>Don't set it</t>
  </si>
  <si>
    <t>Defaults to current timestamp</t>
  </si>
  <si>
    <t>9.1.14</t>
  </si>
  <si>
    <t>Invalid occurredAt</t>
  </si>
  <si>
    <t>Set to "not-a-date"</t>
  </si>
  <si>
    <t>Error: "Invalid date supplied for call time."</t>
  </si>
  <si>
    <t>9.1.15</t>
  </si>
  <si>
    <t>With next follow-up date</t>
  </si>
  <si>
    <t>Set nextFollowUpDate</t>
  </si>
  <si>
    <t>9.1.16</t>
  </si>
  <si>
    <t>Invalid follow-up date</t>
  </si>
  <si>
    <t>Set nextFollowUpDate to "not-a-date"</t>
  </si>
  <si>
    <t>Error: "Invalid date supplied for next follow-up."</t>
  </si>
  <si>
    <t>9.1.17</t>
  </si>
  <si>
    <t>With call recording</t>
  </si>
  <si>
    <t>Upload audio file</t>
  </si>
  <si>
    <t>callRecordingUrl and callRecordingKey populated</t>
  </si>
  <si>
    <t>9.1.18</t>
  </si>
  <si>
    <t>Without call recording</t>
  </si>
  <si>
    <t>No file attached</t>
  </si>
  <si>
    <t>callRecordingUrl/Key remain null</t>
  </si>
  <si>
    <t>Billing &amp; Invoicing</t>
  </si>
  <si>
    <t>Create Invoice (createInvoice)</t>
  </si>
  <si>
    <t>10.1.1</t>
  </si>
  <si>
    <t>Valid invoice</t>
  </si>
  <si>
    <t>Fill applicationId, amount, gstNumberSumi</t>
  </si>
  <si>
    <t>Invoice created, invoiceNumber generated (INV-2026-001), status=RAISED, raisedAt/By set</t>
  </si>
  <si>
    <t>10.1.2</t>
  </si>
  <si>
    <t>Omit applicationId</t>
  </si>
  <si>
    <t>10.1.3</t>
  </si>
  <si>
    <t>Missing amount</t>
  </si>
  <si>
    <t>Omit amount</t>
  </si>
  <si>
    <t>Error: "Amount is required."</t>
  </si>
  <si>
    <t>10.1.4</t>
  </si>
  <si>
    <t>Zero amount</t>
  </si>
  <si>
    <t>Set amount=0</t>
  </si>
  <si>
    <t>Error: "Amount must be a positive number."</t>
  </si>
  <si>
    <t>10.1.5</t>
  </si>
  <si>
    <t>Negative amount</t>
  </si>
  <si>
    <t>Set amount=-100</t>
  </si>
  <si>
    <t>10.1.6</t>
  </si>
  <si>
    <t>Missing Sumi GST</t>
  </si>
  <si>
    <t>Omit gstNumberSumi</t>
  </si>
  <si>
    <t>Error: "Sumi GST number is required."</t>
  </si>
  <si>
    <t>10.1.7</t>
  </si>
  <si>
    <t>Non-existent application</t>
  </si>
  <si>
    <t>Fake applicationId</t>
  </si>
  <si>
    <t>Error: "Candidate application not found."</t>
  </si>
  <si>
    <t>10.1.8</t>
  </si>
  <si>
    <t>With amountWithGst</t>
  </si>
  <si>
    <t>Set both amount and amountWithGst</t>
  </si>
  <si>
    <t>10.1.9</t>
  </si>
  <si>
    <t>Without client GST</t>
  </si>
  <si>
    <t>Omit gstNumberClient</t>
  </si>
  <si>
    <t>Falls back to client.gstNumber</t>
  </si>
  <si>
    <t>its creating invoice</t>
  </si>
  <si>
    <t>10.1.10</t>
  </si>
  <si>
    <t>Invoice number sequential</t>
  </si>
  <si>
    <t>Create 3 invoices in same year</t>
  </si>
  <si>
    <t>INV-2026-001, INV-2026-002, INV-2026-003</t>
  </si>
  <si>
    <t>10.1.11</t>
  </si>
  <si>
    <t>With billing rule ID</t>
  </si>
  <si>
    <t>Pass billingRuleId</t>
  </si>
  <si>
    <t>Linked to rule</t>
  </si>
  <si>
    <t>Invoice Status Transitions (advanceInvoiceStatus)</t>
  </si>
  <si>
    <t>10.2.1</t>
  </si>
  <si>
    <t>RAISED → APPROVED</t>
  </si>
  <si>
    <t>advanceInvoiceStatus(id, "APPROVED")</t>
  </si>
  <si>
    <t>Status updated, approvedAt/By set</t>
  </si>
  <si>
    <t>10.2.2</t>
  </si>
  <si>
    <t>APPROVED → CLEARED</t>
  </si>
  <si>
    <t>advanceInvoiceStatus(id, "CLEARED")</t>
  </si>
  <si>
    <t>Status updated, clearedAt/By set</t>
  </si>
  <si>
    <t>10.2.3</t>
  </si>
  <si>
    <t>RAISED → CLEARED (skip)</t>
  </si>
  <si>
    <t>Try to go from RAISED to CLEARED</t>
  </si>
  <si>
    <t>Error: "Raised invoices can only be approved next."</t>
  </si>
  <si>
    <t>10.2.4</t>
  </si>
  <si>
    <t>APPROVED → RAISED (revert)</t>
  </si>
  <si>
    <t>Try to go from APPROVED to RAISED</t>
  </si>
  <si>
    <t>Error: "Approved invoices can only be cleared next."</t>
  </si>
  <si>
    <t>10.2.5</t>
  </si>
  <si>
    <t>CLEARED → anything</t>
  </si>
  <si>
    <t>Try any transition from CLEARED</t>
  </si>
  <si>
    <t>Error: "Cleared invoices cannot transition further."</t>
  </si>
  <si>
    <t xml:space="preserve">The feature is working, but no error message is displayed.
</t>
  </si>
  <si>
    <t>10.2.6</t>
  </si>
  <si>
    <t>Non-existent invoice</t>
  </si>
  <si>
    <t>Pass fake invoiceId</t>
  </si>
  <si>
    <t>Error: "Invoice not found."</t>
  </si>
  <si>
    <t xml:space="preserve">There is no search validation for invalid invoice IDs. When a user searches using a fake or non-existent invoice ID, no error message is displayed.
</t>
  </si>
  <si>
    <t>Billing Alerts</t>
  </si>
  <si>
    <t>10.3.1</t>
  </si>
  <si>
    <t>Send digest with alerts</t>
  </si>
  <si>
    <t>Have pending invoices, call sendBillingAlertsDigest</t>
  </si>
  <si>
    <t>Email sent with up to 10 alerts</t>
  </si>
  <si>
    <t>10.3.2</t>
  </si>
  <si>
    <t>No pending alerts</t>
  </si>
  <si>
    <t>All invoices cleared</t>
  </si>
  <si>
    <t>"No billing lifecycle alerts are pending."</t>
  </si>
  <si>
    <t>Pending Notifications option is missing</t>
  </si>
  <si>
    <t>10.3.3</t>
  </si>
  <si>
    <t>Run automations</t>
  </si>
  <si>
    <t>Have active rules matching candidates</t>
  </si>
  <si>
    <t>Notifications created for triggers</t>
  </si>
  <si>
    <t>10.3.4</t>
  </si>
  <si>
    <t>No automation matches</t>
  </si>
  <si>
    <t>No rules match</t>
  </si>
  <si>
    <t>"No pending billing automations detected."</t>
  </si>
  <si>
    <t>Billing Rules</t>
  </si>
  <si>
    <t>Create Rule (createBillingRule)</t>
  </si>
  <si>
    <t>11.1.1</t>
  </si>
  <si>
    <t>JOINING rule</t>
  </si>
  <si>
    <t>ruleType=JOINING, clientId, jobId</t>
  </si>
  <si>
    <t>Rule created, isActive=true</t>
  </si>
  <si>
    <t>11.1.2</t>
  </si>
  <si>
    <t>DAYS_COMPLETED rule</t>
  </si>
  <si>
    <t>ruleType=DAYS_COMPLETED, thresholdDays=90</t>
  </si>
  <si>
    <t>Rule created with threshold</t>
  </si>
  <si>
    <t>11.1.3</t>
  </si>
  <si>
    <t>DAYS_COMPLETED without threshold</t>
  </si>
  <si>
    <t>ruleType=DAYS_COMPLETED, omit thresholdDays</t>
  </si>
  <si>
    <t>Error: "Threshold days required for this rule type."</t>
  </si>
  <si>
    <t>11.1.4</t>
  </si>
  <si>
    <t>MILESTONE rule</t>
  </si>
  <si>
    <t>ruleType=MILESTONE, milestoneDescription="Interview completed"</t>
  </si>
  <si>
    <t>Rule created</t>
  </si>
  <si>
    <t>11.1.5</t>
  </si>
  <si>
    <t>Invalid rule type</t>
  </si>
  <si>
    <t>ruleType="CUSTOM"</t>
  </si>
  <si>
    <t>Error: "Select a valid rule type."</t>
  </si>
  <si>
    <t>11.1.6</t>
  </si>
  <si>
    <t>Negative threshold</t>
  </si>
  <si>
    <t>thresholdDays=-10</t>
  </si>
  <si>
    <t>Error: "Threshold days must be a positive number."</t>
  </si>
  <si>
    <t>11.1.7</t>
  </si>
  <si>
    <t>Zero threshold</t>
  </si>
  <si>
    <t>thresholdDays=0</t>
  </si>
  <si>
    <t>Update/Toggle/Delete</t>
  </si>
  <si>
    <t>11.2.1</t>
  </si>
  <si>
    <t>Update rule</t>
  </si>
  <si>
    <t>Change ruleType and thresholdDays</t>
  </si>
  <si>
    <t>Updated in DB, audit logged</t>
  </si>
  <si>
    <t>11.2.2</t>
  </si>
  <si>
    <t>Update without ruleId</t>
  </si>
  <si>
    <t>Omit ruleId</t>
  </si>
  <si>
    <t>Error: "Rule ID required."</t>
  </si>
  <si>
    <t xml:space="preserve">No validation or error message is shown to the user.
</t>
  </si>
  <si>
    <t>11.2.3</t>
  </si>
  <si>
    <t>Toggle active → inactive</t>
  </si>
  <si>
    <t>toggleBillingRule(activeRuleId)</t>
  </si>
  <si>
    <t>isActive flipped, audit logged</t>
  </si>
  <si>
    <t>11.2.4</t>
  </si>
  <si>
    <t>Toggle inactive → active</t>
  </si>
  <si>
    <t>toggleBillingRule(inactiveRuleId)</t>
  </si>
  <si>
    <t>isActive flipped back</t>
  </si>
  <si>
    <t>11.2.5</t>
  </si>
  <si>
    <t>Toggle non-existent</t>
  </si>
  <si>
    <t>Fake ruleId</t>
  </si>
  <si>
    <t>Error: "Rule not found."</t>
  </si>
  <si>
    <t>11.2.6</t>
  </si>
  <si>
    <t>Delete rule</t>
  </si>
  <si>
    <t>deleteBillingRule(ruleId)</t>
  </si>
  <si>
    <t>Rule removed from DB, audit logged</t>
  </si>
  <si>
    <t>11.2.7</t>
  </si>
  <si>
    <t>Delete non-existent</t>
  </si>
  <si>
    <t>Prisma error</t>
  </si>
  <si>
    <t>Payroll</t>
  </si>
  <si>
    <t>Create Payroll Run (createPayrollRun)</t>
  </si>
  <si>
    <t>12.1.1</t>
  </si>
  <si>
    <t>Valid run</t>
  </si>
  <si>
    <t>label, periodStart, periodEnd</t>
  </si>
  <si>
    <t>PayrollRun created, audit logged</t>
  </si>
  <si>
    <t>12.1.2</t>
  </si>
  <si>
    <t>Missing label</t>
  </si>
  <si>
    <t>Omit label</t>
  </si>
  <si>
    <t>Error: "Label is required."</t>
  </si>
  <si>
    <t>12.1.3</t>
  </si>
  <si>
    <t>Missing dates</t>
  </si>
  <si>
    <t>Omit periodStart or periodEnd</t>
  </si>
  <si>
    <t>Error: "Period start and end are required."</t>
  </si>
  <si>
    <t>12.1.4</t>
  </si>
  <si>
    <t>Invalid dates</t>
  </si>
  <si>
    <t>Set periodStart="not-a-date"</t>
  </si>
  <si>
    <t>Error: "Invalid dates provided."</t>
  </si>
  <si>
    <t>12.1.5</t>
  </si>
  <si>
    <t>End before start</t>
  </si>
  <si>
    <t>periodEnd &lt; periodStart</t>
  </si>
  <si>
    <t>Error: "End date cannot precede start date."</t>
  </si>
  <si>
    <t>Add Invoice to Run (addInvoiceToRun)</t>
  </si>
  <si>
    <t>12.2.1</t>
  </si>
  <si>
    <t>Add valid invoice</t>
  </si>
  <si>
    <t>Pass runId + invoiceId</t>
  </si>
  <si>
    <t>PayrollItem created, totalAmount recalculated</t>
  </si>
  <si>
    <t>12.2.2</t>
  </si>
  <si>
    <t>Missing runId</t>
  </si>
  <si>
    <t>Omit runId</t>
  </si>
  <si>
    <t>Error: "Run and invoice are required."</t>
  </si>
  <si>
    <t>12.2.3</t>
  </si>
  <si>
    <t>Fake invoiceId</t>
  </si>
  <si>
    <t>12.2.4</t>
  </si>
  <si>
    <t>CLEARED invoice → PAID status</t>
  </si>
  <si>
    <t>Add a CLEARED invoice</t>
  </si>
  <si>
    <t>PayrollItem.status=PAID</t>
  </si>
  <si>
    <t>12.2.5</t>
  </si>
  <si>
    <t>Non-cleared invoice → READY</t>
  </si>
  <si>
    <t>Add APPROVED invoice</t>
  </si>
  <si>
    <t>PayrollItem.status=READY</t>
  </si>
  <si>
    <t>Non-cleared invoices are missing from the Add Invoice section. Users are unable to view</t>
  </si>
  <si>
    <t>Update Run Status (updateRunStatus)</t>
  </si>
  <si>
    <t>12.3.1</t>
  </si>
  <si>
    <t>Mark as READY</t>
  </si>
  <si>
    <t>updateRunStatus(runId, "READY")</t>
  </si>
  <si>
    <t>Run + all items status=READY</t>
  </si>
  <si>
    <t>12.3.2</t>
  </si>
  <si>
    <t>Mark as PAID</t>
  </si>
  <si>
    <t>updateRunStatus(runId, "PAID")</t>
  </si>
  <si>
    <t>Run + all items status=PAID</t>
  </si>
  <si>
    <t>12.3.3</t>
  </si>
  <si>
    <t>updateRunStatus(runId, "INVALID")</t>
  </si>
  <si>
    <t>Leave Management</t>
  </si>
  <si>
    <t>Grant Leave (grantLeaveAction)</t>
  </si>
  <si>
    <t>13.1.1</t>
  </si>
  <si>
    <t>Grant full-day leave</t>
  </si>
  <si>
    <t>userId, date, leaveType=CASUAL, halfDay=false</t>
  </si>
  <si>
    <t>LeaveRecord created, quota usage updated</t>
  </si>
  <si>
    <t>13.1.2</t>
  </si>
  <si>
    <t>Grant half-day leave</t>
  </si>
  <si>
    <t>halfDay=true</t>
  </si>
  <si>
    <t>LeaveRecord created with halfDay=true, quota uses 0.5</t>
  </si>
  <si>
    <t>13.1.3</t>
  </si>
  <si>
    <t>Missing userId</t>
  </si>
  <si>
    <t>Error: "User and date are required."</t>
  </si>
  <si>
    <t>13.1.4</t>
  </si>
  <si>
    <t>Missing date</t>
  </si>
  <si>
    <t>Omit date</t>
  </si>
  <si>
    <t>13.1.5</t>
  </si>
  <si>
    <t>Duplicate leave (same user+date)</t>
  </si>
  <si>
    <t>Grant leave on date that already has leave</t>
  </si>
  <si>
    <t>Error: "This user already has leave on that date."</t>
  </si>
  <si>
    <t>I couldn't check it because the grant leave is not being created.</t>
  </si>
  <si>
    <t>13.1.6</t>
  </si>
  <si>
    <t>With reason</t>
  </si>
  <si>
    <t>Provide reason text</t>
  </si>
  <si>
    <t>Stored in record</t>
  </si>
  <si>
    <t>13.1.7</t>
  </si>
  <si>
    <t>Without reason</t>
  </si>
  <si>
    <t>Omit reason</t>
  </si>
  <si>
    <t>Stored as null</t>
  </si>
  <si>
    <t>Approve/Reject/Revoke</t>
  </si>
  <si>
    <t>13.2.1</t>
  </si>
  <si>
    <t>Approve pending leave</t>
  </si>
  <si>
    <t>approveLeaveAction with valid ID</t>
  </si>
  <si>
    <t>Status → APPROVED, quota adjusted</t>
  </si>
  <si>
    <t>13.2.2</t>
  </si>
  <si>
    <t>Reject pending leave</t>
  </si>
  <si>
    <t>rejectLeaveAction with valid ID</t>
  </si>
  <si>
    <t>Status → REJECTED</t>
  </si>
  <si>
    <t>13.2.3</t>
  </si>
  <si>
    <t>Revoke granted leave</t>
  </si>
  <si>
    <t>revokeLeaveAction with valid ID</t>
  </si>
  <si>
    <t>Record deleted, quota reverted</t>
  </si>
  <si>
    <t>13.2.4</t>
  </si>
  <si>
    <t>Missing leave ID</t>
  </si>
  <si>
    <t>Omit ID for any action</t>
  </si>
  <si>
    <t>Error: "Leave ID missing."</t>
  </si>
  <si>
    <t>13.2.5</t>
  </si>
  <si>
    <t>Non-existent leave ID</t>
  </si>
  <si>
    <t>Pass fake ID</t>
  </si>
  <si>
    <t>Employee Leave Request (requestLeaveAction)</t>
  </si>
  <si>
    <t>13.3.1</t>
  </si>
  <si>
    <t>Request casual leave</t>
  </si>
  <si>
    <t>date, leaveType=CASUAL</t>
  </si>
  <si>
    <t>LeaveRecord created with status=PENDING</t>
  </si>
  <si>
    <t>13.3.2</t>
  </si>
  <si>
    <t>Request sick leave</t>
  </si>
  <si>
    <t>leaveType=SICK</t>
  </si>
  <si>
    <t>Created</t>
  </si>
  <si>
    <t>13.3.3</t>
  </si>
  <si>
    <t>Request half-day</t>
  </si>
  <si>
    <t>Created with halfDay flag</t>
  </si>
  <si>
    <t>Leave Quotas</t>
  </si>
  <si>
    <t>14.1</t>
  </si>
  <si>
    <t>Update existing quota</t>
  </si>
  <si>
    <t>userId, year=2026, leaveType=CASUAL, total=30</t>
  </si>
  <si>
    <t>Quota updated, audit logged with before/after</t>
  </si>
  <si>
    <t xml:space="preserve">Leave quota is not updating, and the Update button is missing.
</t>
  </si>
  <si>
    <t>14.2</t>
  </si>
  <si>
    <t>Create new quota</t>
  </si>
  <si>
    <t>User without quota for that year/type</t>
  </si>
  <si>
    <t>Quota created with used=0</t>
  </si>
  <si>
    <t>14.3</t>
  </si>
  <si>
    <t>Invalid total (negative)</t>
  </si>
  <si>
    <t>total=-5</t>
  </si>
  <si>
    <t>Error: "Invalid input."</t>
  </si>
  <si>
    <t>not wrorking</t>
  </si>
  <si>
    <t>14.4</t>
  </si>
  <si>
    <t>14.5</t>
  </si>
  <si>
    <t>Missing year</t>
  </si>
  <si>
    <t>Omit year</t>
  </si>
  <si>
    <t>Error: "Invalid input." (NaN)</t>
  </si>
  <si>
    <t>14.6</t>
  </si>
  <si>
    <t>Zero total</t>
  </si>
  <si>
    <t>total=0</t>
  </si>
  <si>
    <t>Accepted (employee has 0 days)</t>
  </si>
  <si>
    <t>not working</t>
  </si>
  <si>
    <t>Web Applications Review</t>
  </si>
  <si>
    <t>Import Application (importApplicationAction)</t>
  </si>
  <si>
    <t>15.1.1</t>
  </si>
  <si>
    <t>Import valid application</t>
  </si>
  <si>
    <t>Pass application ID with status=NEW</t>
  </si>
  <si>
    <t>Candidate created from WebApplication data, candidateCode generated, status→IMPORTED, importedCandidateId set</t>
  </si>
  <si>
    <t>Unable to verify this functionality due to the absence of test data in the web application.</t>
  </si>
  <si>
    <t>15.1.2</t>
  </si>
  <si>
    <t>Import with job reference</t>
  </si>
  <si>
    <t>Application has jobId</t>
  </si>
  <si>
    <t>CandidateApplication also created</t>
  </si>
  <si>
    <t>15.1.3</t>
  </si>
  <si>
    <t>Import without job</t>
  </si>
  <si>
    <t>Application has no jobId</t>
  </si>
  <si>
    <t>Only candidate created, no application</t>
  </si>
  <si>
    <t>15.1.4</t>
  </si>
  <si>
    <t>Import already-imported</t>
  </si>
  <si>
    <t>Application status=IMPORTED</t>
  </si>
  <si>
    <t>Error: "Already imported."</t>
  </si>
  <si>
    <t>15.1.5</t>
  </si>
  <si>
    <t>Omit ID</t>
  </si>
  <si>
    <t>Error: "Application ID missing."</t>
  </si>
  <si>
    <t>15.1.6</t>
  </si>
  <si>
    <t>Fake ID</t>
  </si>
  <si>
    <t>Error: "Application not found."</t>
  </si>
  <si>
    <t>15.1.7</t>
  </si>
  <si>
    <t>Duplicate phone on import</t>
  </si>
  <si>
    <t>Application phone already exists for another candidate</t>
  </si>
  <si>
    <t>Phone creation silently skipped (catch block)</t>
  </si>
  <si>
    <t>15.1.8</t>
  </si>
  <si>
    <t>Audit logged</t>
  </si>
  <si>
    <t>Import succeeds</t>
  </si>
  <si>
    <t>Audit record with entityType=WebApplication, action=import</t>
  </si>
  <si>
    <t>Reject Application</t>
  </si>
  <si>
    <t>15.2.1</t>
  </si>
  <si>
    <t>Reject valid application</t>
  </si>
  <si>
    <t>Pass ID</t>
  </si>
  <si>
    <t>status→REJECTED, reviewedById/At set, audit logged</t>
  </si>
  <si>
    <t>15.2.2</t>
  </si>
  <si>
    <t>Missing ID</t>
  </si>
  <si>
    <t>Mark Under Review</t>
  </si>
  <si>
    <t>15.3.1</t>
  </si>
  <si>
    <t>Mark as under review</t>
  </si>
  <si>
    <t>status→UNDER_REVIEW, reviewedById set</t>
  </si>
  <si>
    <t>15.3.2</t>
  </si>
  <si>
    <t>Attendance &amp; Login Logs</t>
  </si>
  <si>
    <t>Attendance Report (View Only)</t>
  </si>
  <si>
    <t>16.1.1</t>
  </si>
  <si>
    <t>View monthly report</t>
  </si>
  <si>
    <t>Go to /settings/attendance-report, select month/year</t>
  </si>
  <si>
    <t>Table shows daysPresent, daysLate, daysOnLeave, avgWorkingHours per employee</t>
  </si>
  <si>
    <t>16.1.2</t>
  </si>
  <si>
    <t>Today's summary</t>
  </si>
  <si>
    <t>Check dashboard</t>
  </si>
  <si>
    <t>Shows totalActive, loggedIn, late, onLeave counts</t>
  </si>
  <si>
    <t>Login Logs (View Only)</t>
  </si>
  <si>
    <t>16.2.1</t>
  </si>
  <si>
    <t>View logs</t>
  </si>
  <si>
    <t>Go to /settings/login-logs</t>
  </si>
  <si>
    <t>Paginated table with login/logout times, IP, late flag</t>
  </si>
  <si>
    <t>16.2.2</t>
  </si>
  <si>
    <t>Filter by date</t>
  </si>
  <si>
    <t>Apply date range filter</t>
  </si>
  <si>
    <t>Only logs within range shown</t>
  </si>
  <si>
    <t>16.2.3</t>
  </si>
  <si>
    <t>Filter by role</t>
  </si>
  <si>
    <t>Select specific role</t>
  </si>
  <si>
    <t>Only logs for that role</t>
  </si>
  <si>
    <t>API Routes</t>
  </si>
  <si>
    <t>Admin Backup (/api/admin/backup)</t>
  </si>
  <si>
    <t>17.1.1</t>
  </si>
  <si>
    <t>Create backup</t>
  </si>
  <si>
    <t>POST /api/admin/backup</t>
  </si>
  <si>
    <t>Backup file created</t>
  </si>
  <si>
    <t xml:space="preserve">"status": "local",
    "message": "Backup storage not configured. Returning data for manual download.",
    "generatedAt": "2026-06-05T08:20:51.638Z",
    "data": {
        "generatedAt": "2026-06-05T08:20:51.638Z",
        "clients": </t>
  </si>
  <si>
    <t>17.1.2</t>
  </si>
  <si>
    <t>List backups</t>
  </si>
  <si>
    <t>GET /api/admin/backup?action=list</t>
  </si>
  <si>
    <t>JSON array of backup entries</t>
  </si>
  <si>
    <t>{
    "error": "Invalid action"
}</t>
  </si>
  <si>
    <t>17.1.3</t>
  </si>
  <si>
    <t>Download backup</t>
  </si>
  <si>
    <t>GET /api/admin/backup?action=download&amp;key=xxx</t>
  </si>
  <si>
    <t>File download</t>
  </si>
  <si>
    <t>17.1.4</t>
  </si>
  <si>
    <t>Delete backup</t>
  </si>
  <si>
    <t>DELETE /api/admin/backup?key=xxx</t>
  </si>
  <si>
    <t>Backup removed</t>
  </si>
  <si>
    <t>17.1.5</t>
  </si>
  <si>
    <t>Purge old backups</t>
  </si>
  <si>
    <t>DELETE /api/admin/backup?purge=true</t>
  </si>
  <si>
    <t>Old backups removed</t>
  </si>
  <si>
    <t>{
    "deleted": 0,
    "errors": []
}</t>
  </si>
  <si>
    <t>17.1.6</t>
  </si>
  <si>
    <t>Non-admin access</t>
  </si>
  <si>
    <t>Call as RECRUITER</t>
  </si>
  <si>
    <t>401/403 error</t>
  </si>
  <si>
    <t>Export Routes</t>
  </si>
  <si>
    <t>17.2.1</t>
  </si>
  <si>
    <t>Export audit logs</t>
  </si>
  <si>
    <t>GET /api/audit/export</t>
  </si>
  <si>
    <t>CSV download of audit entries</t>
  </si>
  <si>
    <t>17.2.2</t>
  </si>
  <si>
    <t>Full database export</t>
  </si>
  <si>
    <t>GET /api/export/full</t>
  </si>
  <si>
    <t>JSON snapshot (users:manage required)</t>
  </si>
  <si>
    <t>17.2.3</t>
  </si>
  <si>
    <t>Calling report export</t>
  </si>
  <si>
    <t>GET /api/reports/export?report=calling&amp;format=csv</t>
  </si>
  <si>
    <t>CSV file</t>
  </si>
  <si>
    <t>Client,Job,Candidate,Contact,Disposition,Recruiter,Timestamp</t>
  </si>
  <si>
    <t>17.2.4</t>
  </si>
  <si>
    <t>Master report export</t>
  </si>
  <si>
    <t>GET /api/reports/export?report=master&amp;format=xls</t>
  </si>
  <si>
    <t>XLS file</t>
  </si>
  <si>
    <t>17.2.5</t>
  </si>
  <si>
    <t>User roster export</t>
  </si>
  <si>
    <t>GET /api/reports/export?report=users</t>
  </si>
  <si>
    <t>CSV of all users</t>
  </si>
  <si>
    <t>{
    "error": "Unknown report type."
}</t>
  </si>
  <si>
    <t>17.2.6</t>
  </si>
  <si>
    <t>Client report export</t>
  </si>
  <si>
    <t>GET /api/reports/export?report=client</t>
  </si>
  <si>
    <t>CSV of client performance</t>
  </si>
  <si>
    <t>17.2.7</t>
  </si>
  <si>
    <t>Performance export</t>
  </si>
  <si>
    <t>GET /api/performance/export</t>
  </si>
  <si>
    <t>CSV/XLS performance data</t>
  </si>
  <si>
    <t>0:{"b":"yO646kGon2eu1REpJhMGZ","f":[[["",{"children":["/_not-found",{"children":["__PAGE__",{},"$undefined","$undefined","$undefined",3]},"$undefined","$undefined","$undefined",3]},"$undefined","$undefined",true,3],null,[null,null],true]],"q":"","i":false,"S":false}</t>
  </si>
  <si>
    <t>17.2.8</t>
  </si>
  <si>
    <t>Invoice PDF</t>
  </si>
  <si>
    <t>GET /api/invoices/{id}/pdf</t>
  </si>
  <si>
    <t>PDF file generated</t>
  </si>
  <si>
    <t>Notifications</t>
  </si>
  <si>
    <t>17.3.1</t>
  </si>
  <si>
    <t>Get notification summary</t>
  </si>
  <si>
    <t>GET /api/notifications/summary</t>
  </si>
  <si>
    <t>JSON with notifications + unread count</t>
  </si>
  <si>
    <t>17.3.2</t>
  </si>
  <si>
    <t>Mark all read</t>
  </si>
  <si>
    <t>POST /api/notifications/mark-read</t>
  </si>
  <si>
    <t>All unread → read</t>
  </si>
  <si>
    <t>{
    "ok": true
}</t>
  </si>
  <si>
    <t>17.3.3</t>
  </si>
  <si>
    <t>Run automation</t>
  </si>
  <si>
    <t>POST /api/notifications/run</t>
  </si>
  <si>
    <t>Notifications generated for matching rules</t>
  </si>
  <si>
    <t>{
    "msa": 8,
    "candidate": 0,
    "jobs": 0,
    "late": 3,
    "totalCreated": 11
}</t>
  </si>
  <si>
    <t>Global Search</t>
  </si>
  <si>
    <t>17.4.1</t>
  </si>
  <si>
    <t>Search candidates</t>
  </si>
  <si>
    <t>GET /api/search/global?q=Shruti</t>
  </si>
  <si>
    <t>Matching candidates returned</t>
  </si>
  <si>
    <t>{
    "results": [
        {
            "type": "candidate",
            "id": "cmk0p34qt000fwwugp601uf9o",
            "fullName": "Shruti Vaid",
            "candidateCode": "CAND001",
            "primaryEmail": "shruti.vaid@example.com"
        }
    ]
}</t>
  </si>
  <si>
    <t>17.4.2</t>
  </si>
  <si>
    <t>Search clients</t>
  </si>
  <si>
    <t>GET /api/search/global?q=TCS</t>
  </si>
  <si>
    <t>Matching clients returned</t>
  </si>
  <si>
    <t>{
    "results": []
}</t>
  </si>
  <si>
    <t>17.4.3</t>
  </si>
  <si>
    <t>Search jobs</t>
  </si>
  <si>
    <t>GET /api/search/global?q=Developer</t>
  </si>
  <si>
    <t>Matching jobs returned</t>
  </si>
  <si>
    <t>17.4.4</t>
  </si>
  <si>
    <t>Empty query</t>
  </si>
  <si>
    <t>GET /api/search/global?q=</t>
  </si>
  <si>
    <t>Empty or error response</t>
  </si>
  <si>
    <t>17.4.5</t>
  </si>
  <si>
    <t>XSS in query</t>
  </si>
  <si>
    <t>GET /api/search/global?q=&lt;script&gt;alert(1)&lt;/script&gt;</t>
  </si>
  <si>
    <t>Query sanitized, no XSS</t>
  </si>
  <si>
    <t>Public APIs</t>
  </si>
  <si>
    <t>17.5.1</t>
  </si>
  <si>
    <t>List open jobs</t>
  </si>
  <si>
    <t>GET /api/public/jobs</t>
  </si>
  <si>
    <t>Only OPEN-status jobs returned</t>
  </si>
  <si>
    <t>17.5.2</t>
  </si>
  <si>
    <t>Get job by code</t>
  </si>
  <si>
    <t>GET /api/public/jobs/TCS0001</t>
  </si>
  <si>
    <t>Single job details</t>
  </si>
  <si>
    <t>{
    "error": "Job not found or no longer open"
}</t>
  </si>
  <si>
    <t>17.5.3</t>
  </si>
  <si>
    <t>Non-existent job code</t>
  </si>
  <si>
    <t>GET /api/public/jobs/FAKE999</t>
  </si>
  <si>
    <t>404 or empty</t>
  </si>
  <si>
    <t>17.5.4</t>
  </si>
  <si>
    <t>Submit application</t>
  </si>
  <si>
    <t>POST /api/public/apply with name, email, phone</t>
  </si>
  <si>
    <t>WebApplication created with trackingToken</t>
  </si>
  <si>
    <t>17.5.5</t>
  </si>
  <si>
    <t>Rate limit (5/day/email)</t>
  </si>
  <si>
    <t>Submit 6 applications from same email</t>
  </si>
  <si>
    <t>6th is rejected</t>
  </si>
  <si>
    <t>17.5.6</t>
  </si>
  <si>
    <t>Duplicate check (30 days)</t>
  </si>
  <si>
    <t>Same email + same job within 30 days</t>
  </si>
  <si>
    <t>Rejected as duplicate</t>
  </si>
  <si>
    <t>17.5.7</t>
  </si>
  <si>
    <t>Track application</t>
  </si>
  <si>
    <t>GET /api/public/track?token=xxx</t>
  </si>
  <si>
    <t>Application status timeline</t>
  </si>
  <si>
    <t>17.5.8</t>
  </si>
  <si>
    <t>Invalid tracking token</t>
  </si>
  <si>
    <t>GET /api/public/track?token=fake</t>
  </si>
  <si>
    <t>Not found / error</t>
  </si>
  <si>
    <t>{
    "error": "Token and email are required."
}</t>
  </si>
  <si>
    <t>Security &amp; Edge Cases</t>
  </si>
  <si>
    <t>Input Validation</t>
  </si>
  <si>
    <t>18.1.1</t>
  </si>
  <si>
    <t>XSS in candidate name</t>
  </si>
  <si>
    <t>Enter &lt;script&gt;alert(1)&lt;/script&gt; as fullName</t>
  </si>
  <si>
    <t>Rejected by validateCandidateName (non-alpha chars)</t>
  </si>
  <si>
    <t>18.1.2</t>
  </si>
  <si>
    <t>SQL injection in search</t>
  </si>
  <si>
    <t>Enter '; DROP TABLE candidates;-- in search</t>
  </si>
  <si>
    <t>Query parameterized (Prisma), no injection</t>
  </si>
  <si>
    <t>18.1.3</t>
  </si>
  <si>
    <t>Oversized file upload</t>
  </si>
  <si>
    <t>Upload 50MB file as resume</t>
  </si>
  <si>
    <t>Rejected by file-upload validation</t>
  </si>
  <si>
    <t>18.1.4</t>
  </si>
  <si>
    <t>Wrong file type</t>
  </si>
  <si>
    <t>Upload .exe as resume</t>
  </si>
  <si>
    <t>Rejected (allowed: PDF, DOC, DOCX, RTF)</t>
  </si>
  <si>
    <t>18.1.5</t>
  </si>
  <si>
    <t>HTML in remarks</t>
  </si>
  <si>
    <t>Enter HTML tags in remarks</t>
  </si>
  <si>
    <t>Stored as-is but rendered safely (React escapes)</t>
  </si>
  <si>
    <t>18.1.6</t>
  </si>
  <si>
    <t>Unicode in candidate name</t>
  </si>
  <si>
    <t>Enter "Priyā Sharma"</t>
  </si>
  <si>
    <t>Either accepted or rejected by alpha-only rule</t>
  </si>
  <si>
    <t>18.1.7</t>
  </si>
  <si>
    <t>Very long input</t>
  </si>
  <si>
    <t>10,000-char string in any text field</t>
  </si>
  <si>
    <t>DB column limit or application limit enforced</t>
  </si>
  <si>
    <t>18.1.8</t>
  </si>
  <si>
    <t>Negative numbers in numeric fields</t>
  </si>
  <si>
    <t>Negative CTC, negative experience</t>
  </si>
  <si>
    <t>Rejected or stored as negative (check each field)</t>
  </si>
  <si>
    <t>Concurrent Operations</t>
  </si>
  <si>
    <t>18.2.1</t>
  </si>
  <si>
    <t>Two users approve same invoice</t>
  </si>
  <si>
    <t>Both click approve simultaneously</t>
  </si>
  <si>
    <t>One succeeds, one gets "Approved invoices can only be cleared next."</t>
  </si>
  <si>
    <t>18.2.2</t>
  </si>
  <si>
    <t>Duplicate candidate creation race</t>
  </si>
  <si>
    <t>Two forms submit same phone simultaneously</t>
  </si>
  <si>
    <t>One succeeds, one gets unique constraint error</t>
  </si>
  <si>
    <t>18.2.3</t>
  </si>
  <si>
    <t>Concurrent payroll item addition</t>
  </si>
  <si>
    <t>Two users add invoice to same run</t>
  </si>
  <si>
    <t>Both succeed, totalAmount correctly aggregated (transaction)</t>
  </si>
  <si>
    <t>Audit Trail</t>
  </si>
  <si>
    <t>18.3.1</t>
  </si>
  <si>
    <t>Every create is audited</t>
  </si>
  <si>
    <t>Perform any create action</t>
  </si>
  <si>
    <t>AuditLog entry with action="create"</t>
  </si>
  <si>
    <t>18.3.2</t>
  </si>
  <si>
    <t>Status changes have before/after</t>
  </si>
  <si>
    <t>Change any status</t>
  </si>
  <si>
    <t>AuditLog has before and after JSON</t>
  </si>
  <si>
    <t>18.3.3</t>
  </si>
  <si>
    <t>Merge action audited</t>
  </si>
  <si>
    <t>Merge a candidate</t>
  </si>
  <si>
    <t>AuditLog with action="merge"</t>
  </si>
  <si>
    <t>18.3.4</t>
  </si>
  <si>
    <t>Bulk operations audited per item</t>
  </si>
  <si>
    <t>Bulk update 3 items</t>
  </si>
  <si>
    <t>3 separate audit entries</t>
  </si>
  <si>
    <t>18.3.5</t>
  </si>
  <si>
    <t>GDPR deletion anonymizes audit</t>
  </si>
  <si>
    <t>Delete candidate via GDPR endpoint</t>
  </si>
  <si>
    <t>Candidate data removed, audit entries anonymized</t>
  </si>
  <si>
    <t>IP Allowlist &amp; Emergency Bypass</t>
  </si>
  <si>
    <t>18.4.1</t>
  </si>
  <si>
    <t>Blocked IP gets 403</t>
  </si>
  <si>
    <t>Access from non-allowlisted IP</t>
  </si>
  <si>
    <t>"Access restricted" page with detected IP</t>
  </si>
  <si>
    <t>18.4.2</t>
  </si>
  <si>
    <t>Allowed IP passes</t>
  </si>
  <si>
    <t>Access from allowlisted range</t>
  </si>
  <si>
    <t>Normal access</t>
  </si>
  <si>
    <t>18.4.3</t>
  </si>
  <si>
    <t>Emergency bypass with valid key</t>
  </si>
  <si>
    <t>Append ?_ebk=&lt;secret&gt;</t>
  </si>
  <si>
    <t>Cookie set, redirect to clean URL</t>
  </si>
  <si>
    <t>18.4.4</t>
  </si>
  <si>
    <t>Emergency bypass with wrong key</t>
  </si>
  <si>
    <t>Append ?_ebk=wrongsecret</t>
  </si>
  <si>
    <t>403 page (no cookie set)</t>
  </si>
  <si>
    <t>18.4.5</t>
  </si>
  <si>
    <t>Bypass cookie works</t>
  </si>
  <si>
    <t>After bypass, access without param</t>
  </si>
  <si>
    <t>Cookie validated, access granted</t>
  </si>
  <si>
    <t>18.4.6</t>
  </si>
  <si>
    <t>Bypass cookie expires</t>
  </si>
  <si>
    <t>Wait beyond EMERGENCY_BYPASS_HOURS</t>
  </si>
  <si>
    <t>Cookie invalid, 403 returned</t>
  </si>
  <si>
    <t>This checkpoint was not tested</t>
  </si>
  <si>
    <t>18.4.7</t>
  </si>
  <si>
    <t>Short secret rejected</t>
  </si>
  <si>
    <t>Set EMERGENCY_BYPASS_SECRET &lt; 32 chars</t>
  </si>
  <si>
    <t>Bypass feature disabled</t>
  </si>
  <si>
    <t>18.4.8</t>
  </si>
  <si>
    <t>Auth routes exempt</t>
  </si>
  <si>
    <t>Access /login and /api/auth from any IP</t>
  </si>
  <si>
    <t>Always accessible</t>
  </si>
  <si>
    <t>Rate Limiting</t>
  </si>
  <si>
    <t>18.5.1</t>
  </si>
  <si>
    <t>Under limit</t>
  </si>
  <si>
    <t>Send 19 requests in 10 seconds</t>
  </si>
  <si>
    <t>All succeed</t>
  </si>
  <si>
    <t>18.5.2</t>
  </si>
  <si>
    <t>Over limit</t>
  </si>
  <si>
    <t>Send 21 requests in 10 seconds</t>
  </si>
  <si>
    <t>21st returns 429 "Too many requests"</t>
  </si>
  <si>
    <t>18.5.3</t>
  </si>
  <si>
    <t>No Redis configured</t>
  </si>
  <si>
    <t>Remove UPSTASH env vars</t>
  </si>
  <si>
    <t>Rate limiting disabled, all requests pass</t>
  </si>
  <si>
    <t>Tester</t>
  </si>
  <si>
    <t>Completed</t>
  </si>
  <si>
    <t>Pending</t>
  </si>
  <si>
    <t>Total Checkpoints</t>
  </si>
  <si>
    <t>Completion %</t>
  </si>
  <si>
    <t>Overall complete rows</t>
  </si>
  <si>
    <t>Overall pending rows</t>
  </si>
  <si>
    <t>Overall in-progress rows</t>
  </si>
  <si>
    <t>Source file</t>
  </si>
  <si>
    <t>ADMIN_TEST_CASES.md</t>
  </si>
  <si>
    <t>Note</t>
  </si>
  <si>
    <t>Use the dropdown in each tester column to switch unchecked to checked.</t>
  </si>
  <si>
    <t>Rushikesh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</si>
</sst>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4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pane ySplit="1" topLeftCell="A142" activePane="bottomLeft" state="frozen"/>
      <selection pane="bottomLeft" activeCell="I2" sqref="I2"/>
    </sheetView>
  </sheetViews>
  <sheetFormatPr defaultColWidth="14.42578125" defaultRowHeight="15" customHeight="1" x14ac:dyDescent="0.25"/>
  <cols>
    <col min="1" max="1" width="8" customWidth="1"/>
    <col min="2" max="3" width="28" customWidth="1"/>
    <col min="4" max="4" width="14" customWidth="1"/>
    <col min="5" max="5" width="45" customWidth="1"/>
    <col min="6" max="7" width="55" customWidth="1"/>
    <col min="8" max="8" width="12" customWidth="1"/>
    <col min="9" max="12" width="13" customWidth="1"/>
    <col min="13" max="14" width="16" customWidth="1"/>
    <col min="15" max="15" width="28" customWidth="1"/>
    <col min="16" max="26" width="9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1406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 t="s">
        <v>21</v>
      </c>
      <c r="I2" s="4" t="s">
        <v>22</v>
      </c>
      <c r="J2" s="4" t="s">
        <v>23</v>
      </c>
      <c r="K2" s="4" t="s">
        <v>22</v>
      </c>
      <c r="L2" s="4" t="s">
        <v>23</v>
      </c>
      <c r="M2" s="4" t="s">
        <v>23</v>
      </c>
      <c r="N2" s="5" t="str">
        <f t="shared" ref="N2:N256" si="0">IF(COUNTIF(I2:L2,"☑")=4,"Complete",IF(COUNTIF(I2:L2,"☑")&gt;0,"In Progress","Pending"))</f>
        <v>In Progress</v>
      </c>
      <c r="O2" s="2" t="s">
        <v>24</v>
      </c>
    </row>
    <row r="3" spans="1:15" ht="24" customHeight="1" x14ac:dyDescent="0.25">
      <c r="A3" s="2">
        <v>2</v>
      </c>
      <c r="B3" s="2" t="s">
        <v>15</v>
      </c>
      <c r="C3" s="2" t="s">
        <v>16</v>
      </c>
      <c r="D3" s="2" t="s">
        <v>25</v>
      </c>
      <c r="E3" s="2" t="s">
        <v>26</v>
      </c>
      <c r="F3" s="2" t="s">
        <v>27</v>
      </c>
      <c r="G3" s="2" t="s">
        <v>28</v>
      </c>
      <c r="H3" s="3" t="s">
        <v>21</v>
      </c>
      <c r="I3" s="4" t="s">
        <v>22</v>
      </c>
      <c r="J3" s="4" t="s">
        <v>23</v>
      </c>
      <c r="K3" s="4" t="s">
        <v>22</v>
      </c>
      <c r="L3" s="4" t="s">
        <v>23</v>
      </c>
      <c r="M3" s="4" t="s">
        <v>23</v>
      </c>
      <c r="N3" s="5" t="str">
        <f t="shared" si="0"/>
        <v>In Progress</v>
      </c>
      <c r="O3" s="2" t="s">
        <v>24</v>
      </c>
    </row>
    <row r="4" spans="1:15" ht="24" customHeight="1" x14ac:dyDescent="0.25">
      <c r="A4" s="2">
        <v>3</v>
      </c>
      <c r="B4" s="2" t="s">
        <v>15</v>
      </c>
      <c r="C4" s="2" t="s">
        <v>16</v>
      </c>
      <c r="D4" s="2" t="s">
        <v>29</v>
      </c>
      <c r="E4" s="2" t="s">
        <v>30</v>
      </c>
      <c r="F4" s="2" t="s">
        <v>31</v>
      </c>
      <c r="G4" s="2" t="s">
        <v>32</v>
      </c>
      <c r="H4" s="3" t="s">
        <v>21</v>
      </c>
      <c r="I4" s="4" t="s">
        <v>22</v>
      </c>
      <c r="J4" s="4" t="s">
        <v>23</v>
      </c>
      <c r="K4" s="4" t="s">
        <v>22</v>
      </c>
      <c r="L4" s="4" t="s">
        <v>23</v>
      </c>
      <c r="M4" s="4" t="s">
        <v>23</v>
      </c>
      <c r="N4" s="5" t="str">
        <f t="shared" si="0"/>
        <v>In Progress</v>
      </c>
      <c r="O4" s="2" t="s">
        <v>24</v>
      </c>
    </row>
    <row r="5" spans="1:15" ht="24" customHeight="1" x14ac:dyDescent="0.25">
      <c r="A5" s="2">
        <v>4</v>
      </c>
      <c r="B5" s="2" t="s">
        <v>15</v>
      </c>
      <c r="C5" s="2" t="s">
        <v>16</v>
      </c>
      <c r="D5" s="2" t="s">
        <v>33</v>
      </c>
      <c r="E5" s="2" t="s">
        <v>34</v>
      </c>
      <c r="F5" s="2" t="s">
        <v>35</v>
      </c>
      <c r="G5" s="2" t="s">
        <v>36</v>
      </c>
      <c r="H5" s="3" t="s">
        <v>21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5" t="str">
        <f t="shared" si="0"/>
        <v>Pending</v>
      </c>
      <c r="O5" s="2" t="s">
        <v>37</v>
      </c>
    </row>
    <row r="6" spans="1:15" ht="24" customHeight="1" x14ac:dyDescent="0.25">
      <c r="A6" s="2">
        <v>5</v>
      </c>
      <c r="B6" s="2" t="s">
        <v>15</v>
      </c>
      <c r="C6" s="2" t="s">
        <v>16</v>
      </c>
      <c r="D6" s="2" t="s">
        <v>38</v>
      </c>
      <c r="E6" s="2" t="s">
        <v>39</v>
      </c>
      <c r="F6" s="2" t="s">
        <v>40</v>
      </c>
      <c r="G6" s="2" t="s">
        <v>41</v>
      </c>
      <c r="H6" s="6" t="s">
        <v>42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5" t="str">
        <f t="shared" si="0"/>
        <v>Pending</v>
      </c>
      <c r="O6" s="2" t="s">
        <v>43</v>
      </c>
    </row>
    <row r="7" spans="1:15" ht="24" customHeight="1" x14ac:dyDescent="0.25">
      <c r="A7" s="2">
        <v>6</v>
      </c>
      <c r="B7" s="2" t="s">
        <v>15</v>
      </c>
      <c r="C7" s="2" t="s">
        <v>16</v>
      </c>
      <c r="D7" s="2" t="s">
        <v>44</v>
      </c>
      <c r="E7" s="2" t="s">
        <v>45</v>
      </c>
      <c r="F7" s="2" t="s">
        <v>46</v>
      </c>
      <c r="G7" s="2" t="s">
        <v>47</v>
      </c>
      <c r="H7" s="6" t="s">
        <v>42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5" t="str">
        <f t="shared" si="0"/>
        <v>Pending</v>
      </c>
      <c r="O7" s="2" t="s">
        <v>43</v>
      </c>
    </row>
    <row r="8" spans="1:15" ht="24" customHeight="1" x14ac:dyDescent="0.25">
      <c r="A8" s="2">
        <v>7</v>
      </c>
      <c r="B8" s="2" t="s">
        <v>15</v>
      </c>
      <c r="C8" s="2" t="s">
        <v>16</v>
      </c>
      <c r="D8" s="2" t="s">
        <v>48</v>
      </c>
      <c r="E8" s="2" t="s">
        <v>49</v>
      </c>
      <c r="F8" s="2" t="s">
        <v>50</v>
      </c>
      <c r="G8" s="2" t="s">
        <v>51</v>
      </c>
      <c r="H8" s="6" t="s">
        <v>42</v>
      </c>
      <c r="I8" s="4" t="s">
        <v>23</v>
      </c>
      <c r="J8" s="4" t="s">
        <v>23</v>
      </c>
      <c r="K8" s="4" t="s">
        <v>23</v>
      </c>
      <c r="L8" s="4" t="s">
        <v>23</v>
      </c>
      <c r="M8" s="4" t="s">
        <v>23</v>
      </c>
      <c r="N8" s="5" t="str">
        <f t="shared" si="0"/>
        <v>Pending</v>
      </c>
      <c r="O8" s="2" t="s">
        <v>24</v>
      </c>
    </row>
    <row r="9" spans="1:15" ht="24" customHeight="1" x14ac:dyDescent="0.25">
      <c r="A9" s="2">
        <v>8</v>
      </c>
      <c r="B9" s="2" t="s">
        <v>15</v>
      </c>
      <c r="C9" s="2" t="s">
        <v>16</v>
      </c>
      <c r="D9" s="2" t="s">
        <v>52</v>
      </c>
      <c r="E9" s="2" t="s">
        <v>53</v>
      </c>
      <c r="F9" s="2" t="s">
        <v>54</v>
      </c>
      <c r="G9" s="2" t="s">
        <v>55</v>
      </c>
      <c r="H9" s="3" t="s">
        <v>21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5" t="str">
        <f t="shared" si="0"/>
        <v>Pending</v>
      </c>
      <c r="O9" s="2" t="s">
        <v>56</v>
      </c>
    </row>
    <row r="10" spans="1:15" ht="24" customHeight="1" x14ac:dyDescent="0.25">
      <c r="A10" s="2">
        <v>9</v>
      </c>
      <c r="B10" s="2" t="s">
        <v>15</v>
      </c>
      <c r="C10" s="2" t="s">
        <v>16</v>
      </c>
      <c r="D10" s="2" t="s">
        <v>57</v>
      </c>
      <c r="E10" s="2" t="s">
        <v>58</v>
      </c>
      <c r="F10" s="2" t="s">
        <v>59</v>
      </c>
      <c r="G10" s="2" t="s">
        <v>60</v>
      </c>
      <c r="H10" s="7" t="s">
        <v>61</v>
      </c>
      <c r="I10" s="4" t="s">
        <v>22</v>
      </c>
      <c r="J10" s="4" t="s">
        <v>23</v>
      </c>
      <c r="K10" s="4" t="s">
        <v>22</v>
      </c>
      <c r="L10" s="4" t="s">
        <v>23</v>
      </c>
      <c r="M10" s="4" t="s">
        <v>23</v>
      </c>
      <c r="N10" s="5" t="str">
        <f t="shared" si="0"/>
        <v>In Progress</v>
      </c>
      <c r="O10" s="2" t="s">
        <v>24</v>
      </c>
    </row>
    <row r="11" spans="1:15" ht="24" customHeight="1" x14ac:dyDescent="0.25">
      <c r="A11" s="2">
        <v>10</v>
      </c>
      <c r="B11" s="2" t="s">
        <v>15</v>
      </c>
      <c r="C11" s="2" t="s">
        <v>16</v>
      </c>
      <c r="D11" s="2" t="s">
        <v>62</v>
      </c>
      <c r="E11" s="2" t="s">
        <v>63</v>
      </c>
      <c r="F11" s="2" t="s">
        <v>64</v>
      </c>
      <c r="G11" s="2" t="s">
        <v>60</v>
      </c>
      <c r="H11" s="7" t="s">
        <v>61</v>
      </c>
      <c r="I11" s="4" t="s">
        <v>22</v>
      </c>
      <c r="J11" s="4" t="s">
        <v>23</v>
      </c>
      <c r="K11" s="4" t="s">
        <v>22</v>
      </c>
      <c r="L11" s="4" t="s">
        <v>23</v>
      </c>
      <c r="M11" s="4" t="s">
        <v>23</v>
      </c>
      <c r="N11" s="5" t="str">
        <f t="shared" si="0"/>
        <v>In Progress</v>
      </c>
      <c r="O11" s="2" t="s">
        <v>24</v>
      </c>
    </row>
    <row r="12" spans="1:15" ht="24" customHeight="1" x14ac:dyDescent="0.25">
      <c r="A12" s="2">
        <v>11</v>
      </c>
      <c r="B12" s="2" t="s">
        <v>15</v>
      </c>
      <c r="C12" s="2" t="s">
        <v>16</v>
      </c>
      <c r="D12" s="2" t="s">
        <v>65</v>
      </c>
      <c r="E12" s="2" t="s">
        <v>66</v>
      </c>
      <c r="F12" s="2" t="s">
        <v>67</v>
      </c>
      <c r="G12" s="2" t="s">
        <v>68</v>
      </c>
      <c r="H12" s="6" t="s">
        <v>42</v>
      </c>
      <c r="I12" s="4" t="s">
        <v>22</v>
      </c>
      <c r="J12" s="4" t="s">
        <v>23</v>
      </c>
      <c r="K12" s="4" t="s">
        <v>22</v>
      </c>
      <c r="L12" s="4" t="s">
        <v>23</v>
      </c>
      <c r="M12" s="4" t="s">
        <v>23</v>
      </c>
      <c r="N12" s="5" t="str">
        <f t="shared" si="0"/>
        <v>In Progress</v>
      </c>
      <c r="O12" s="2" t="s">
        <v>24</v>
      </c>
    </row>
    <row r="13" spans="1:15" ht="24" customHeight="1" x14ac:dyDescent="0.25">
      <c r="A13" s="2">
        <v>12</v>
      </c>
      <c r="B13" s="2" t="s">
        <v>15</v>
      </c>
      <c r="C13" s="2" t="s">
        <v>16</v>
      </c>
      <c r="D13" s="2" t="s">
        <v>69</v>
      </c>
      <c r="E13" s="2" t="s">
        <v>70</v>
      </c>
      <c r="F13" s="2" t="s">
        <v>71</v>
      </c>
      <c r="G13" s="2" t="s">
        <v>72</v>
      </c>
      <c r="H13" s="6" t="s">
        <v>42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5" t="str">
        <f t="shared" si="0"/>
        <v>Pending</v>
      </c>
      <c r="O13" s="2" t="s">
        <v>24</v>
      </c>
    </row>
    <row r="14" spans="1:15" ht="24" customHeight="1" x14ac:dyDescent="0.25">
      <c r="A14" s="2">
        <v>13</v>
      </c>
      <c r="B14" s="2" t="s">
        <v>15</v>
      </c>
      <c r="C14" s="2" t="s">
        <v>16</v>
      </c>
      <c r="D14" s="2" t="s">
        <v>73</v>
      </c>
      <c r="E14" s="2" t="s">
        <v>74</v>
      </c>
      <c r="F14" s="2" t="s">
        <v>75</v>
      </c>
      <c r="G14" s="2" t="s">
        <v>76</v>
      </c>
      <c r="H14" s="7" t="s">
        <v>61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5" t="str">
        <f t="shared" si="0"/>
        <v>Pending</v>
      </c>
      <c r="O14" s="2" t="s">
        <v>24</v>
      </c>
    </row>
    <row r="15" spans="1:15" ht="24" customHeight="1" x14ac:dyDescent="0.25">
      <c r="A15" s="2">
        <v>14</v>
      </c>
      <c r="B15" s="2" t="s">
        <v>15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  <c r="H15" s="6" t="s">
        <v>42</v>
      </c>
      <c r="I15" s="4" t="s">
        <v>23</v>
      </c>
      <c r="J15" s="4" t="s">
        <v>23</v>
      </c>
      <c r="K15" s="4" t="s">
        <v>22</v>
      </c>
      <c r="L15" s="4" t="s">
        <v>23</v>
      </c>
      <c r="M15" s="4" t="s">
        <v>23</v>
      </c>
      <c r="N15" s="5" t="str">
        <f t="shared" si="0"/>
        <v>In Progress</v>
      </c>
      <c r="O15" s="2" t="s">
        <v>24</v>
      </c>
    </row>
    <row r="16" spans="1:15" ht="24" customHeight="1" x14ac:dyDescent="0.25">
      <c r="A16" s="2">
        <v>15</v>
      </c>
      <c r="B16" s="2" t="s">
        <v>15</v>
      </c>
      <c r="C16" s="2" t="s">
        <v>77</v>
      </c>
      <c r="D16" s="2" t="s">
        <v>82</v>
      </c>
      <c r="E16" s="2" t="s">
        <v>83</v>
      </c>
      <c r="F16" s="2" t="s">
        <v>84</v>
      </c>
      <c r="G16" s="2" t="s">
        <v>85</v>
      </c>
      <c r="H16" s="6" t="s">
        <v>42</v>
      </c>
      <c r="I16" s="4" t="s">
        <v>23</v>
      </c>
      <c r="J16" s="4" t="s">
        <v>23</v>
      </c>
      <c r="K16" s="4" t="s">
        <v>23</v>
      </c>
      <c r="L16" s="4" t="s">
        <v>23</v>
      </c>
      <c r="M16" s="4" t="s">
        <v>23</v>
      </c>
      <c r="N16" s="5" t="str">
        <f t="shared" si="0"/>
        <v>Pending</v>
      </c>
      <c r="O16" s="2" t="s">
        <v>24</v>
      </c>
    </row>
    <row r="17" spans="1:15" ht="24" customHeight="1" x14ac:dyDescent="0.25">
      <c r="A17" s="2">
        <v>16</v>
      </c>
      <c r="B17" s="2" t="s">
        <v>15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90</v>
      </c>
      <c r="H17" s="6" t="s">
        <v>42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5" t="str">
        <f t="shared" si="0"/>
        <v>Pending</v>
      </c>
      <c r="O17" s="2" t="s">
        <v>91</v>
      </c>
    </row>
    <row r="18" spans="1:15" ht="24" customHeight="1" x14ac:dyDescent="0.25">
      <c r="A18" s="2">
        <v>17</v>
      </c>
      <c r="B18" s="2" t="s">
        <v>15</v>
      </c>
      <c r="C18" s="2" t="s">
        <v>86</v>
      </c>
      <c r="D18" s="2" t="s">
        <v>92</v>
      </c>
      <c r="E18" s="2" t="s">
        <v>93</v>
      </c>
      <c r="F18" s="2" t="s">
        <v>94</v>
      </c>
      <c r="G18" s="2" t="s">
        <v>95</v>
      </c>
      <c r="H18" s="6" t="s">
        <v>42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5" t="str">
        <f t="shared" si="0"/>
        <v>Pending</v>
      </c>
      <c r="O18" s="2" t="s">
        <v>91</v>
      </c>
    </row>
    <row r="19" spans="1:15" ht="24" customHeight="1" x14ac:dyDescent="0.25">
      <c r="A19" s="2">
        <v>18</v>
      </c>
      <c r="B19" s="2" t="s">
        <v>15</v>
      </c>
      <c r="C19" s="2" t="s">
        <v>86</v>
      </c>
      <c r="D19" s="2" t="s">
        <v>96</v>
      </c>
      <c r="E19" s="2" t="s">
        <v>97</v>
      </c>
      <c r="F19" s="2" t="s">
        <v>98</v>
      </c>
      <c r="G19" s="2" t="s">
        <v>99</v>
      </c>
      <c r="H19" s="6" t="s">
        <v>42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5" t="str">
        <f t="shared" si="0"/>
        <v>Pending</v>
      </c>
      <c r="O19" s="2" t="s">
        <v>91</v>
      </c>
    </row>
    <row r="20" spans="1:15" ht="24" customHeight="1" x14ac:dyDescent="0.25">
      <c r="A20" s="2">
        <v>19</v>
      </c>
      <c r="B20" s="2" t="s">
        <v>15</v>
      </c>
      <c r="C20" s="2" t="s">
        <v>86</v>
      </c>
      <c r="D20" s="2" t="s">
        <v>100</v>
      </c>
      <c r="E20" s="2" t="s">
        <v>101</v>
      </c>
      <c r="F20" s="2" t="s">
        <v>102</v>
      </c>
      <c r="G20" s="2" t="s">
        <v>103</v>
      </c>
      <c r="H20" s="6" t="s">
        <v>42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5" t="str">
        <f t="shared" si="0"/>
        <v>Pending</v>
      </c>
      <c r="O20" s="2" t="s">
        <v>24</v>
      </c>
    </row>
    <row r="21" spans="1:15" ht="24" customHeight="1" x14ac:dyDescent="0.25">
      <c r="A21" s="2">
        <v>20</v>
      </c>
      <c r="B21" s="2" t="s">
        <v>15</v>
      </c>
      <c r="C21" s="2" t="s">
        <v>86</v>
      </c>
      <c r="D21" s="2" t="s">
        <v>104</v>
      </c>
      <c r="E21" s="2" t="s">
        <v>105</v>
      </c>
      <c r="F21" s="2" t="s">
        <v>106</v>
      </c>
      <c r="G21" s="2" t="s">
        <v>60</v>
      </c>
      <c r="H21" s="7" t="s">
        <v>61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5" t="str">
        <f t="shared" si="0"/>
        <v>Pending</v>
      </c>
      <c r="O21" s="2" t="s">
        <v>24</v>
      </c>
    </row>
    <row r="22" spans="1:15" ht="24" customHeight="1" x14ac:dyDescent="0.25">
      <c r="A22" s="2">
        <v>21</v>
      </c>
      <c r="B22" s="2" t="s">
        <v>15</v>
      </c>
      <c r="C22" s="2" t="s">
        <v>107</v>
      </c>
      <c r="D22" s="2" t="s">
        <v>108</v>
      </c>
      <c r="E22" s="2" t="s">
        <v>109</v>
      </c>
      <c r="F22" s="2" t="s">
        <v>110</v>
      </c>
      <c r="G22" s="2" t="s">
        <v>111</v>
      </c>
      <c r="H22" s="6" t="s">
        <v>42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5" t="str">
        <f t="shared" si="0"/>
        <v>Pending</v>
      </c>
      <c r="O22" s="2" t="s">
        <v>24</v>
      </c>
    </row>
    <row r="23" spans="1:15" ht="24" customHeight="1" x14ac:dyDescent="0.25">
      <c r="A23" s="2">
        <v>22</v>
      </c>
      <c r="B23" s="2" t="s">
        <v>15</v>
      </c>
      <c r="C23" s="2" t="s">
        <v>107</v>
      </c>
      <c r="D23" s="2" t="s">
        <v>112</v>
      </c>
      <c r="E23" s="2" t="s">
        <v>113</v>
      </c>
      <c r="F23" s="2" t="s">
        <v>114</v>
      </c>
      <c r="G23" s="2" t="s">
        <v>115</v>
      </c>
      <c r="H23" s="6" t="s">
        <v>42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5" t="str">
        <f t="shared" si="0"/>
        <v>Pending</v>
      </c>
      <c r="O23" s="2" t="s">
        <v>24</v>
      </c>
    </row>
    <row r="24" spans="1:15" ht="24" customHeight="1" x14ac:dyDescent="0.25">
      <c r="A24" s="2">
        <v>23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  <c r="G24" s="2" t="s">
        <v>121</v>
      </c>
      <c r="H24" s="3" t="s">
        <v>21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5" t="str">
        <f t="shared" si="0"/>
        <v>Pending</v>
      </c>
      <c r="O24" s="2" t="s">
        <v>91</v>
      </c>
    </row>
    <row r="25" spans="1:15" ht="24" customHeight="1" x14ac:dyDescent="0.25">
      <c r="A25" s="2">
        <v>24</v>
      </c>
      <c r="B25" s="2" t="s">
        <v>116</v>
      </c>
      <c r="C25" s="2" t="s">
        <v>117</v>
      </c>
      <c r="D25" s="2" t="s">
        <v>122</v>
      </c>
      <c r="E25" s="2" t="s">
        <v>123</v>
      </c>
      <c r="F25" s="2" t="s">
        <v>124</v>
      </c>
      <c r="G25" s="2" t="s">
        <v>125</v>
      </c>
      <c r="H25" s="6" t="s">
        <v>42</v>
      </c>
      <c r="I25" s="4" t="s">
        <v>22</v>
      </c>
      <c r="J25" s="4" t="s">
        <v>23</v>
      </c>
      <c r="K25" s="4" t="s">
        <v>23</v>
      </c>
      <c r="L25" s="4" t="s">
        <v>23</v>
      </c>
      <c r="M25" s="4" t="s">
        <v>23</v>
      </c>
      <c r="N25" s="5" t="str">
        <f t="shared" si="0"/>
        <v>In Progress</v>
      </c>
      <c r="O25" s="2" t="s">
        <v>126</v>
      </c>
    </row>
    <row r="26" spans="1:15" ht="24" customHeight="1" x14ac:dyDescent="0.25">
      <c r="A26" s="2">
        <v>25</v>
      </c>
      <c r="B26" s="2" t="s">
        <v>116</v>
      </c>
      <c r="C26" s="2" t="s">
        <v>117</v>
      </c>
      <c r="D26" s="2" t="s">
        <v>127</v>
      </c>
      <c r="E26" s="2" t="s">
        <v>128</v>
      </c>
      <c r="F26" s="2" t="s">
        <v>129</v>
      </c>
      <c r="G26" s="2" t="s">
        <v>130</v>
      </c>
      <c r="H26" s="6" t="s">
        <v>42</v>
      </c>
      <c r="I26" s="4" t="s">
        <v>22</v>
      </c>
      <c r="J26" s="4" t="s">
        <v>23</v>
      </c>
      <c r="K26" s="4" t="s">
        <v>23</v>
      </c>
      <c r="L26" s="4" t="s">
        <v>23</v>
      </c>
      <c r="M26" s="4" t="s">
        <v>23</v>
      </c>
      <c r="N26" s="5" t="str">
        <f t="shared" si="0"/>
        <v>In Progress</v>
      </c>
      <c r="O26" s="2" t="s">
        <v>126</v>
      </c>
    </row>
    <row r="27" spans="1:15" ht="24" customHeight="1" x14ac:dyDescent="0.25">
      <c r="A27" s="2">
        <v>26</v>
      </c>
      <c r="B27" s="2" t="s">
        <v>116</v>
      </c>
      <c r="C27" s="2" t="s">
        <v>117</v>
      </c>
      <c r="D27" s="2" t="s">
        <v>131</v>
      </c>
      <c r="E27" s="2" t="s">
        <v>132</v>
      </c>
      <c r="F27" s="2" t="s">
        <v>133</v>
      </c>
      <c r="G27" s="2" t="s">
        <v>134</v>
      </c>
      <c r="H27" s="6" t="s">
        <v>42</v>
      </c>
      <c r="I27" s="4" t="s">
        <v>22</v>
      </c>
      <c r="J27" s="4" t="s">
        <v>23</v>
      </c>
      <c r="K27" s="4" t="s">
        <v>23</v>
      </c>
      <c r="L27" s="4" t="s">
        <v>23</v>
      </c>
      <c r="M27" s="4" t="s">
        <v>23</v>
      </c>
      <c r="N27" s="5" t="str">
        <f t="shared" si="0"/>
        <v>In Progress</v>
      </c>
      <c r="O27" s="2" t="s">
        <v>126</v>
      </c>
    </row>
    <row r="28" spans="1:15" ht="24" customHeight="1" x14ac:dyDescent="0.25">
      <c r="A28" s="2">
        <v>27</v>
      </c>
      <c r="B28" s="2" t="s">
        <v>116</v>
      </c>
      <c r="C28" s="2" t="s">
        <v>117</v>
      </c>
      <c r="D28" s="2" t="s">
        <v>135</v>
      </c>
      <c r="E28" s="2" t="s">
        <v>136</v>
      </c>
      <c r="F28" s="2" t="s">
        <v>137</v>
      </c>
      <c r="G28" s="2" t="s">
        <v>138</v>
      </c>
      <c r="H28" s="6" t="s">
        <v>42</v>
      </c>
      <c r="I28" s="4" t="s">
        <v>22</v>
      </c>
      <c r="J28" s="4" t="s">
        <v>23</v>
      </c>
      <c r="K28" s="4" t="s">
        <v>23</v>
      </c>
      <c r="L28" s="4" t="s">
        <v>23</v>
      </c>
      <c r="M28" s="4" t="s">
        <v>23</v>
      </c>
      <c r="N28" s="5" t="str">
        <f t="shared" si="0"/>
        <v>In Progress</v>
      </c>
      <c r="O28" s="2" t="s">
        <v>139</v>
      </c>
    </row>
    <row r="29" spans="1:15" ht="24" customHeight="1" x14ac:dyDescent="0.25">
      <c r="A29" s="2">
        <v>28</v>
      </c>
      <c r="B29" s="2" t="s">
        <v>116</v>
      </c>
      <c r="C29" s="2" t="s">
        <v>117</v>
      </c>
      <c r="D29" s="2" t="s">
        <v>140</v>
      </c>
      <c r="E29" s="2" t="s">
        <v>141</v>
      </c>
      <c r="F29" s="2" t="s">
        <v>142</v>
      </c>
      <c r="G29" s="2" t="s">
        <v>143</v>
      </c>
      <c r="H29" s="6" t="s">
        <v>42</v>
      </c>
      <c r="I29" s="4" t="s">
        <v>22</v>
      </c>
      <c r="J29" s="4" t="s">
        <v>23</v>
      </c>
      <c r="K29" s="4" t="s">
        <v>23</v>
      </c>
      <c r="L29" s="4" t="s">
        <v>23</v>
      </c>
      <c r="M29" s="4" t="s">
        <v>23</v>
      </c>
      <c r="N29" s="5" t="str">
        <f t="shared" si="0"/>
        <v>In Progress</v>
      </c>
      <c r="O29" s="2" t="s">
        <v>126</v>
      </c>
    </row>
    <row r="30" spans="1:15" ht="24" customHeight="1" x14ac:dyDescent="0.25">
      <c r="A30" s="2">
        <v>29</v>
      </c>
      <c r="B30" s="2" t="s">
        <v>116</v>
      </c>
      <c r="C30" s="2" t="s">
        <v>117</v>
      </c>
      <c r="D30" s="2" t="s">
        <v>144</v>
      </c>
      <c r="E30" s="2" t="s">
        <v>145</v>
      </c>
      <c r="F30" s="2" t="s">
        <v>146</v>
      </c>
      <c r="G30" s="2" t="s">
        <v>147</v>
      </c>
      <c r="H30" s="6" t="s">
        <v>42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5" t="str">
        <f t="shared" si="0"/>
        <v>Pending</v>
      </c>
      <c r="O30" s="2" t="s">
        <v>91</v>
      </c>
    </row>
    <row r="31" spans="1:15" ht="24" customHeight="1" x14ac:dyDescent="0.25">
      <c r="A31" s="2">
        <v>30</v>
      </c>
      <c r="B31" s="2" t="s">
        <v>116</v>
      </c>
      <c r="C31" s="2" t="s">
        <v>117</v>
      </c>
      <c r="D31" s="2" t="s">
        <v>148</v>
      </c>
      <c r="E31" s="2" t="s">
        <v>149</v>
      </c>
      <c r="F31" s="2" t="s">
        <v>150</v>
      </c>
      <c r="G31" s="2" t="s">
        <v>147</v>
      </c>
      <c r="H31" s="6" t="s">
        <v>42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5" t="str">
        <f t="shared" si="0"/>
        <v>Pending</v>
      </c>
      <c r="O31" s="2" t="s">
        <v>91</v>
      </c>
    </row>
    <row r="32" spans="1:15" ht="24" customHeight="1" x14ac:dyDescent="0.25">
      <c r="A32" s="2">
        <v>31</v>
      </c>
      <c r="B32" s="2" t="s">
        <v>116</v>
      </c>
      <c r="C32" s="2" t="s">
        <v>117</v>
      </c>
      <c r="D32" s="2" t="s">
        <v>151</v>
      </c>
      <c r="E32" s="2" t="s">
        <v>152</v>
      </c>
      <c r="F32" s="2" t="s">
        <v>153</v>
      </c>
      <c r="G32" s="2" t="s">
        <v>154</v>
      </c>
      <c r="H32" s="6" t="s">
        <v>42</v>
      </c>
      <c r="I32" s="4" t="s">
        <v>22</v>
      </c>
      <c r="J32" s="4" t="s">
        <v>23</v>
      </c>
      <c r="K32" s="4" t="s">
        <v>23</v>
      </c>
      <c r="L32" s="4" t="s">
        <v>23</v>
      </c>
      <c r="M32" s="4" t="s">
        <v>23</v>
      </c>
      <c r="N32" s="5" t="str">
        <f t="shared" si="0"/>
        <v>In Progress</v>
      </c>
      <c r="O32" s="2"/>
    </row>
    <row r="33" spans="1:15" ht="24" customHeight="1" x14ac:dyDescent="0.25">
      <c r="A33" s="2">
        <v>32</v>
      </c>
      <c r="B33" s="2" t="s">
        <v>116</v>
      </c>
      <c r="C33" s="2" t="s">
        <v>117</v>
      </c>
      <c r="D33" s="2" t="s">
        <v>155</v>
      </c>
      <c r="E33" s="2" t="s">
        <v>156</v>
      </c>
      <c r="F33" s="2" t="s">
        <v>157</v>
      </c>
      <c r="G33" s="2" t="s">
        <v>158</v>
      </c>
      <c r="H33" s="7" t="s">
        <v>61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5" t="str">
        <f t="shared" si="0"/>
        <v>Pending</v>
      </c>
      <c r="O33" s="2" t="s">
        <v>91</v>
      </c>
    </row>
    <row r="34" spans="1:15" ht="24" customHeight="1" x14ac:dyDescent="0.25">
      <c r="A34" s="2">
        <v>33</v>
      </c>
      <c r="B34" s="2" t="s">
        <v>116</v>
      </c>
      <c r="C34" s="2" t="s">
        <v>159</v>
      </c>
      <c r="D34" s="2" t="s">
        <v>160</v>
      </c>
      <c r="E34" s="2" t="s">
        <v>161</v>
      </c>
      <c r="F34" s="2" t="s">
        <v>162</v>
      </c>
      <c r="G34" s="2" t="s">
        <v>163</v>
      </c>
      <c r="H34" s="6" t="s">
        <v>42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5" t="str">
        <f t="shared" si="0"/>
        <v>Pending</v>
      </c>
      <c r="O34" s="2" t="s">
        <v>91</v>
      </c>
    </row>
    <row r="35" spans="1:15" ht="24" customHeight="1" x14ac:dyDescent="0.25">
      <c r="A35" s="2">
        <v>34</v>
      </c>
      <c r="B35" s="2" t="s">
        <v>116</v>
      </c>
      <c r="C35" s="2" t="s">
        <v>159</v>
      </c>
      <c r="D35" s="2" t="s">
        <v>164</v>
      </c>
      <c r="E35" s="2" t="s">
        <v>165</v>
      </c>
      <c r="F35" s="2" t="s">
        <v>166</v>
      </c>
      <c r="G35" s="2" t="s">
        <v>167</v>
      </c>
      <c r="H35" s="6" t="s">
        <v>42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5" t="str">
        <f t="shared" si="0"/>
        <v>Pending</v>
      </c>
      <c r="O35" s="2" t="s">
        <v>91</v>
      </c>
    </row>
    <row r="36" spans="1:15" ht="24" customHeight="1" x14ac:dyDescent="0.25">
      <c r="A36" s="2">
        <v>35</v>
      </c>
      <c r="B36" s="2" t="s">
        <v>116</v>
      </c>
      <c r="C36" s="2" t="s">
        <v>159</v>
      </c>
      <c r="D36" s="2" t="s">
        <v>168</v>
      </c>
      <c r="E36" s="2" t="s">
        <v>169</v>
      </c>
      <c r="F36" s="2" t="s">
        <v>170</v>
      </c>
      <c r="G36" s="2" t="s">
        <v>171</v>
      </c>
      <c r="H36" s="7" t="s">
        <v>61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5" t="str">
        <f t="shared" si="0"/>
        <v>Pending</v>
      </c>
      <c r="O36" s="2" t="s">
        <v>91</v>
      </c>
    </row>
    <row r="37" spans="1:15" ht="24" customHeight="1" x14ac:dyDescent="0.25">
      <c r="A37" s="2">
        <v>36</v>
      </c>
      <c r="B37" s="2" t="s">
        <v>116</v>
      </c>
      <c r="C37" s="2" t="s">
        <v>159</v>
      </c>
      <c r="D37" s="2" t="s">
        <v>172</v>
      </c>
      <c r="E37" s="2" t="s">
        <v>173</v>
      </c>
      <c r="F37" s="2" t="s">
        <v>174</v>
      </c>
      <c r="G37" s="2" t="s">
        <v>175</v>
      </c>
      <c r="H37" s="7" t="s">
        <v>61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5" t="str">
        <f t="shared" si="0"/>
        <v>Pending</v>
      </c>
      <c r="O37" s="2" t="s">
        <v>91</v>
      </c>
    </row>
    <row r="38" spans="1:15" ht="24" customHeight="1" x14ac:dyDescent="0.25">
      <c r="A38" s="2">
        <v>37</v>
      </c>
      <c r="B38" s="2" t="s">
        <v>116</v>
      </c>
      <c r="C38" s="2" t="s">
        <v>176</v>
      </c>
      <c r="D38" s="2" t="s">
        <v>177</v>
      </c>
      <c r="E38" s="2" t="s">
        <v>178</v>
      </c>
      <c r="F38" s="2" t="s">
        <v>179</v>
      </c>
      <c r="G38" s="2" t="s">
        <v>180</v>
      </c>
      <c r="H38" s="6" t="s">
        <v>42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5" t="str">
        <f t="shared" si="0"/>
        <v>Pending</v>
      </c>
      <c r="O38" s="2" t="s">
        <v>181</v>
      </c>
    </row>
    <row r="39" spans="1:15" ht="24" customHeight="1" x14ac:dyDescent="0.25">
      <c r="A39" s="2">
        <v>38</v>
      </c>
      <c r="B39" s="2" t="s">
        <v>116</v>
      </c>
      <c r="C39" s="2" t="s">
        <v>176</v>
      </c>
      <c r="D39" s="2" t="s">
        <v>182</v>
      </c>
      <c r="E39" s="2" t="s">
        <v>183</v>
      </c>
      <c r="F39" s="2" t="s">
        <v>184</v>
      </c>
      <c r="G39" s="2" t="s">
        <v>185</v>
      </c>
      <c r="H39" s="6" t="s">
        <v>42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5" t="str">
        <f t="shared" si="0"/>
        <v>Pending</v>
      </c>
      <c r="O39" s="2" t="s">
        <v>24</v>
      </c>
    </row>
    <row r="40" spans="1:15" ht="24" customHeight="1" x14ac:dyDescent="0.25">
      <c r="A40" s="2">
        <v>39</v>
      </c>
      <c r="B40" s="2" t="s">
        <v>116</v>
      </c>
      <c r="C40" s="2" t="s">
        <v>176</v>
      </c>
      <c r="D40" s="2" t="s">
        <v>186</v>
      </c>
      <c r="E40" s="2" t="s">
        <v>187</v>
      </c>
      <c r="F40" s="2" t="s">
        <v>188</v>
      </c>
      <c r="G40" s="2" t="s">
        <v>189</v>
      </c>
      <c r="H40" s="7" t="s">
        <v>61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5" t="str">
        <f t="shared" si="0"/>
        <v>Pending</v>
      </c>
      <c r="O40" s="2" t="s">
        <v>24</v>
      </c>
    </row>
    <row r="41" spans="1:15" ht="24" customHeight="1" x14ac:dyDescent="0.25">
      <c r="A41" s="2">
        <v>40</v>
      </c>
      <c r="B41" s="2" t="s">
        <v>116</v>
      </c>
      <c r="C41" s="2" t="s">
        <v>190</v>
      </c>
      <c r="D41" s="2" t="s">
        <v>191</v>
      </c>
      <c r="E41" s="2" t="s">
        <v>192</v>
      </c>
      <c r="F41" s="2" t="s">
        <v>193</v>
      </c>
      <c r="G41" s="2" t="s">
        <v>194</v>
      </c>
      <c r="H41" s="6" t="s">
        <v>42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5" t="str">
        <f t="shared" si="0"/>
        <v>Pending</v>
      </c>
      <c r="O41" s="2" t="s">
        <v>91</v>
      </c>
    </row>
    <row r="42" spans="1:15" ht="24" customHeight="1" x14ac:dyDescent="0.25">
      <c r="A42" s="2">
        <v>41</v>
      </c>
      <c r="B42" s="2" t="s">
        <v>116</v>
      </c>
      <c r="C42" s="2" t="s">
        <v>190</v>
      </c>
      <c r="D42" s="2" t="s">
        <v>195</v>
      </c>
      <c r="E42" s="2" t="s">
        <v>196</v>
      </c>
      <c r="F42" s="2" t="s">
        <v>197</v>
      </c>
      <c r="G42" s="2" t="s">
        <v>198</v>
      </c>
      <c r="H42" s="6" t="s">
        <v>42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5" t="str">
        <f t="shared" si="0"/>
        <v>Pending</v>
      </c>
      <c r="O42" s="2" t="s">
        <v>91</v>
      </c>
    </row>
    <row r="43" spans="1:15" ht="24" customHeight="1" x14ac:dyDescent="0.25">
      <c r="A43" s="2">
        <v>42</v>
      </c>
      <c r="B43" s="2" t="s">
        <v>116</v>
      </c>
      <c r="C43" s="2" t="s">
        <v>190</v>
      </c>
      <c r="D43" s="2" t="s">
        <v>199</v>
      </c>
      <c r="E43" s="2" t="s">
        <v>200</v>
      </c>
      <c r="F43" s="2" t="s">
        <v>201</v>
      </c>
      <c r="G43" s="2" t="s">
        <v>202</v>
      </c>
      <c r="H43" s="7" t="s">
        <v>61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5" t="str">
        <f t="shared" si="0"/>
        <v>Pending</v>
      </c>
      <c r="O43" s="2" t="s">
        <v>24</v>
      </c>
    </row>
    <row r="44" spans="1:15" ht="24" customHeight="1" x14ac:dyDescent="0.25">
      <c r="A44" s="2">
        <v>43</v>
      </c>
      <c r="B44" s="2" t="s">
        <v>116</v>
      </c>
      <c r="C44" s="2" t="s">
        <v>190</v>
      </c>
      <c r="D44" s="2" t="s">
        <v>203</v>
      </c>
      <c r="E44" s="2" t="s">
        <v>204</v>
      </c>
      <c r="F44" s="2" t="s">
        <v>205</v>
      </c>
      <c r="G44" s="2" t="s">
        <v>206</v>
      </c>
      <c r="H44" s="7" t="s">
        <v>61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5" t="str">
        <f t="shared" si="0"/>
        <v>Pending</v>
      </c>
      <c r="O44" s="2" t="s">
        <v>24</v>
      </c>
    </row>
    <row r="45" spans="1:15" ht="24" customHeight="1" x14ac:dyDescent="0.25">
      <c r="A45" s="2">
        <v>44</v>
      </c>
      <c r="B45" s="2" t="s">
        <v>116</v>
      </c>
      <c r="C45" s="2" t="s">
        <v>190</v>
      </c>
      <c r="D45" s="2" t="s">
        <v>207</v>
      </c>
      <c r="E45" s="2" t="s">
        <v>208</v>
      </c>
      <c r="F45" s="2" t="s">
        <v>209</v>
      </c>
      <c r="G45" s="2" t="s">
        <v>210</v>
      </c>
      <c r="H45" s="7" t="s">
        <v>61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5" t="str">
        <f t="shared" si="0"/>
        <v>Pending</v>
      </c>
      <c r="O45" s="2" t="s">
        <v>24</v>
      </c>
    </row>
    <row r="46" spans="1:15" ht="24" customHeight="1" x14ac:dyDescent="0.25">
      <c r="A46" s="2">
        <v>45</v>
      </c>
      <c r="B46" s="2" t="s">
        <v>116</v>
      </c>
      <c r="C46" s="2" t="s">
        <v>190</v>
      </c>
      <c r="D46" s="2" t="s">
        <v>211</v>
      </c>
      <c r="E46" s="2" t="s">
        <v>212</v>
      </c>
      <c r="F46" s="2" t="s">
        <v>213</v>
      </c>
      <c r="G46" s="2" t="s">
        <v>214</v>
      </c>
      <c r="H46" s="7" t="s">
        <v>61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5" t="str">
        <f t="shared" si="0"/>
        <v>Pending</v>
      </c>
      <c r="O46" s="2" t="s">
        <v>215</v>
      </c>
    </row>
    <row r="47" spans="1:15" ht="24" customHeight="1" x14ac:dyDescent="0.25">
      <c r="A47" s="2">
        <v>46</v>
      </c>
      <c r="B47" s="2" t="s">
        <v>116</v>
      </c>
      <c r="C47" s="2" t="s">
        <v>190</v>
      </c>
      <c r="D47" s="2" t="s">
        <v>216</v>
      </c>
      <c r="E47" s="2" t="s">
        <v>217</v>
      </c>
      <c r="F47" s="2" t="s">
        <v>218</v>
      </c>
      <c r="G47" s="2" t="s">
        <v>219</v>
      </c>
      <c r="H47" s="2" t="s">
        <v>220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5" t="str">
        <f t="shared" si="0"/>
        <v>Pending</v>
      </c>
      <c r="O47" s="2" t="s">
        <v>215</v>
      </c>
    </row>
    <row r="48" spans="1:15" ht="24" customHeight="1" x14ac:dyDescent="0.25">
      <c r="A48" s="2">
        <v>47</v>
      </c>
      <c r="B48" s="2" t="s">
        <v>221</v>
      </c>
      <c r="C48" s="2" t="s">
        <v>24</v>
      </c>
      <c r="D48" s="2" t="s">
        <v>222</v>
      </c>
      <c r="E48" s="2" t="s">
        <v>223</v>
      </c>
      <c r="F48" s="2" t="s">
        <v>224</v>
      </c>
      <c r="G48" s="2" t="s">
        <v>225</v>
      </c>
      <c r="H48" s="3" t="s">
        <v>21</v>
      </c>
      <c r="I48" s="4" t="s">
        <v>22</v>
      </c>
      <c r="J48" s="4" t="s">
        <v>23</v>
      </c>
      <c r="K48" s="4" t="s">
        <v>22</v>
      </c>
      <c r="L48" s="4" t="s">
        <v>23</v>
      </c>
      <c r="M48" s="4" t="s">
        <v>23</v>
      </c>
      <c r="N48" s="5" t="str">
        <f t="shared" si="0"/>
        <v>In Progress</v>
      </c>
      <c r="O48" s="2" t="s">
        <v>24</v>
      </c>
    </row>
    <row r="49" spans="1:15" ht="24" customHeight="1" x14ac:dyDescent="0.25">
      <c r="A49" s="2">
        <v>48</v>
      </c>
      <c r="B49" s="2" t="s">
        <v>221</v>
      </c>
      <c r="C49" s="2" t="s">
        <v>24</v>
      </c>
      <c r="D49" s="2" t="s">
        <v>226</v>
      </c>
      <c r="E49" s="2" t="s">
        <v>227</v>
      </c>
      <c r="F49" s="2" t="s">
        <v>228</v>
      </c>
      <c r="G49" s="2" t="s">
        <v>229</v>
      </c>
      <c r="H49" s="3" t="s">
        <v>21</v>
      </c>
      <c r="I49" s="4" t="s">
        <v>22</v>
      </c>
      <c r="J49" s="4" t="s">
        <v>23</v>
      </c>
      <c r="K49" s="4" t="s">
        <v>23</v>
      </c>
      <c r="L49" s="4" t="s">
        <v>23</v>
      </c>
      <c r="M49" s="4" t="s">
        <v>23</v>
      </c>
      <c r="N49" s="5" t="str">
        <f t="shared" si="0"/>
        <v>In Progress</v>
      </c>
      <c r="O49" s="2" t="s">
        <v>24</v>
      </c>
    </row>
    <row r="50" spans="1:15" ht="24" customHeight="1" x14ac:dyDescent="0.25">
      <c r="A50" s="2">
        <v>49</v>
      </c>
      <c r="B50" s="2" t="s">
        <v>221</v>
      </c>
      <c r="C50" s="2" t="s">
        <v>24</v>
      </c>
      <c r="D50" s="2" t="s">
        <v>230</v>
      </c>
      <c r="E50" s="2" t="s">
        <v>231</v>
      </c>
      <c r="F50" s="2" t="s">
        <v>232</v>
      </c>
      <c r="G50" s="2" t="s">
        <v>233</v>
      </c>
      <c r="H50" s="6" t="s">
        <v>42</v>
      </c>
      <c r="I50" s="4" t="s">
        <v>22</v>
      </c>
      <c r="J50" s="4" t="s">
        <v>23</v>
      </c>
      <c r="K50" s="4" t="s">
        <v>23</v>
      </c>
      <c r="L50" s="4" t="s">
        <v>23</v>
      </c>
      <c r="M50" s="4" t="s">
        <v>23</v>
      </c>
      <c r="N50" s="5" t="str">
        <f t="shared" si="0"/>
        <v>In Progress</v>
      </c>
      <c r="O50" s="2" t="s">
        <v>24</v>
      </c>
    </row>
    <row r="51" spans="1:15" ht="24" customHeight="1" x14ac:dyDescent="0.25">
      <c r="A51" s="2">
        <v>50</v>
      </c>
      <c r="B51" s="2" t="s">
        <v>221</v>
      </c>
      <c r="C51" s="2" t="s">
        <v>24</v>
      </c>
      <c r="D51" s="2" t="s">
        <v>234</v>
      </c>
      <c r="E51" s="2" t="s">
        <v>235</v>
      </c>
      <c r="F51" s="2" t="s">
        <v>236</v>
      </c>
      <c r="G51" s="2" t="s">
        <v>233</v>
      </c>
      <c r="H51" s="6" t="s">
        <v>42</v>
      </c>
      <c r="I51" s="4" t="s">
        <v>22</v>
      </c>
      <c r="J51" s="4" t="s">
        <v>23</v>
      </c>
      <c r="K51" s="4" t="s">
        <v>23</v>
      </c>
      <c r="L51" s="4" t="s">
        <v>23</v>
      </c>
      <c r="M51" s="4" t="s">
        <v>23</v>
      </c>
      <c r="N51" s="5" t="str">
        <f t="shared" si="0"/>
        <v>In Progress</v>
      </c>
      <c r="O51" s="2" t="s">
        <v>24</v>
      </c>
    </row>
    <row r="52" spans="1:15" ht="24" customHeight="1" x14ac:dyDescent="0.25">
      <c r="A52" s="2">
        <v>51</v>
      </c>
      <c r="B52" s="2" t="s">
        <v>221</v>
      </c>
      <c r="C52" s="2" t="s">
        <v>24</v>
      </c>
      <c r="D52" s="2" t="s">
        <v>237</v>
      </c>
      <c r="E52" s="2" t="s">
        <v>238</v>
      </c>
      <c r="F52" s="2" t="s">
        <v>239</v>
      </c>
      <c r="G52" s="2" t="s">
        <v>240</v>
      </c>
      <c r="H52" s="6" t="s">
        <v>42</v>
      </c>
      <c r="I52" s="4" t="s">
        <v>22</v>
      </c>
      <c r="J52" s="4" t="s">
        <v>23</v>
      </c>
      <c r="K52" s="4" t="s">
        <v>23</v>
      </c>
      <c r="L52" s="4" t="s">
        <v>23</v>
      </c>
      <c r="M52" s="4" t="s">
        <v>23</v>
      </c>
      <c r="N52" s="5" t="str">
        <f t="shared" si="0"/>
        <v>In Progress</v>
      </c>
      <c r="O52" s="2" t="s">
        <v>24</v>
      </c>
    </row>
    <row r="53" spans="1:15" ht="24" customHeight="1" x14ac:dyDescent="0.25">
      <c r="A53" s="2">
        <v>52</v>
      </c>
      <c r="B53" s="2" t="s">
        <v>221</v>
      </c>
      <c r="C53" s="2" t="s">
        <v>24</v>
      </c>
      <c r="D53" s="2" t="s">
        <v>241</v>
      </c>
      <c r="E53" s="2" t="s">
        <v>242</v>
      </c>
      <c r="F53" s="2" t="s">
        <v>243</v>
      </c>
      <c r="G53" s="2" t="s">
        <v>240</v>
      </c>
      <c r="H53" s="6" t="s">
        <v>42</v>
      </c>
      <c r="I53" s="4" t="s">
        <v>22</v>
      </c>
      <c r="J53" s="4" t="s">
        <v>23</v>
      </c>
      <c r="K53" s="4" t="s">
        <v>23</v>
      </c>
      <c r="L53" s="4" t="s">
        <v>23</v>
      </c>
      <c r="M53" s="4" t="s">
        <v>23</v>
      </c>
      <c r="N53" s="5" t="str">
        <f t="shared" si="0"/>
        <v>In Progress</v>
      </c>
      <c r="O53" s="2" t="s">
        <v>24</v>
      </c>
    </row>
    <row r="54" spans="1:15" ht="24" customHeight="1" x14ac:dyDescent="0.25">
      <c r="A54" s="2">
        <v>53</v>
      </c>
      <c r="B54" s="2" t="s">
        <v>221</v>
      </c>
      <c r="C54" s="2" t="s">
        <v>24</v>
      </c>
      <c r="D54" s="2" t="s">
        <v>244</v>
      </c>
      <c r="E54" s="2" t="s">
        <v>245</v>
      </c>
      <c r="F54" s="2" t="s">
        <v>246</v>
      </c>
      <c r="G54" s="2" t="s">
        <v>233</v>
      </c>
      <c r="H54" s="6" t="s">
        <v>42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5" t="str">
        <f t="shared" si="0"/>
        <v>Pending</v>
      </c>
      <c r="O54" s="2" t="s">
        <v>24</v>
      </c>
    </row>
    <row r="55" spans="1:15" ht="24" customHeight="1" x14ac:dyDescent="0.25">
      <c r="A55" s="2">
        <v>54</v>
      </c>
      <c r="B55" s="2" t="s">
        <v>221</v>
      </c>
      <c r="C55" s="2" t="s">
        <v>24</v>
      </c>
      <c r="D55" s="2" t="s">
        <v>247</v>
      </c>
      <c r="E55" s="2" t="s">
        <v>248</v>
      </c>
      <c r="F55" s="2" t="s">
        <v>249</v>
      </c>
      <c r="G55" s="2" t="s">
        <v>240</v>
      </c>
      <c r="H55" s="6" t="s">
        <v>42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5" t="str">
        <f t="shared" si="0"/>
        <v>Pending</v>
      </c>
      <c r="O55" s="2" t="s">
        <v>91</v>
      </c>
    </row>
    <row r="56" spans="1:15" ht="24" customHeight="1" x14ac:dyDescent="0.25">
      <c r="A56" s="2">
        <v>55</v>
      </c>
      <c r="B56" s="2" t="s">
        <v>221</v>
      </c>
      <c r="C56" s="2" t="s">
        <v>24</v>
      </c>
      <c r="D56" s="2" t="s">
        <v>250</v>
      </c>
      <c r="E56" s="2" t="s">
        <v>251</v>
      </c>
      <c r="F56" s="2" t="s">
        <v>252</v>
      </c>
      <c r="G56" s="2" t="s">
        <v>240</v>
      </c>
      <c r="H56" s="7" t="s">
        <v>61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5" t="str">
        <f t="shared" si="0"/>
        <v>Pending</v>
      </c>
      <c r="O56" s="2" t="s">
        <v>24</v>
      </c>
    </row>
    <row r="57" spans="1:15" ht="24" customHeight="1" x14ac:dyDescent="0.25">
      <c r="A57" s="2">
        <v>56</v>
      </c>
      <c r="B57" s="2" t="s">
        <v>221</v>
      </c>
      <c r="C57" s="2" t="s">
        <v>24</v>
      </c>
      <c r="D57" s="2" t="s">
        <v>253</v>
      </c>
      <c r="E57" s="2" t="s">
        <v>254</v>
      </c>
      <c r="F57" s="2" t="s">
        <v>255</v>
      </c>
      <c r="G57" s="2" t="s">
        <v>240</v>
      </c>
      <c r="H57" s="7" t="s">
        <v>61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5" t="str">
        <f t="shared" si="0"/>
        <v>Pending</v>
      </c>
      <c r="O57" s="2" t="s">
        <v>24</v>
      </c>
    </row>
    <row r="58" spans="1:15" ht="24" customHeight="1" x14ac:dyDescent="0.25">
      <c r="A58" s="2">
        <v>57</v>
      </c>
      <c r="B58" s="2" t="s">
        <v>221</v>
      </c>
      <c r="C58" s="2" t="s">
        <v>256</v>
      </c>
      <c r="D58" s="2" t="s">
        <v>257</v>
      </c>
      <c r="E58" s="2" t="s">
        <v>258</v>
      </c>
      <c r="F58" s="2" t="s">
        <v>259</v>
      </c>
      <c r="G58" s="2" t="s">
        <v>260</v>
      </c>
      <c r="H58" s="3" t="s">
        <v>21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5" t="str">
        <f t="shared" si="0"/>
        <v>Pending</v>
      </c>
      <c r="O58" s="2" t="s">
        <v>261</v>
      </c>
    </row>
    <row r="59" spans="1:15" ht="24" customHeight="1" x14ac:dyDescent="0.25">
      <c r="A59" s="2">
        <v>58</v>
      </c>
      <c r="B59" s="2" t="s">
        <v>221</v>
      </c>
      <c r="C59" s="2" t="s">
        <v>256</v>
      </c>
      <c r="D59" s="2" t="s">
        <v>262</v>
      </c>
      <c r="E59" s="2" t="s">
        <v>263</v>
      </c>
      <c r="F59" s="2" t="s">
        <v>264</v>
      </c>
      <c r="G59" s="2" t="s">
        <v>265</v>
      </c>
      <c r="H59" s="3" t="s">
        <v>21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5" t="str">
        <f t="shared" si="0"/>
        <v>Pending</v>
      </c>
      <c r="O59" s="2" t="s">
        <v>266</v>
      </c>
    </row>
    <row r="60" spans="1:15" ht="24" customHeight="1" x14ac:dyDescent="0.25">
      <c r="A60" s="2">
        <v>59</v>
      </c>
      <c r="B60" s="2" t="s">
        <v>221</v>
      </c>
      <c r="C60" s="2" t="s">
        <v>256</v>
      </c>
      <c r="D60" s="2" t="s">
        <v>267</v>
      </c>
      <c r="E60" s="2" t="s">
        <v>268</v>
      </c>
      <c r="F60" s="2" t="s">
        <v>269</v>
      </c>
      <c r="G60" s="2" t="s">
        <v>270</v>
      </c>
      <c r="H60" s="3" t="s">
        <v>21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5" t="str">
        <f t="shared" si="0"/>
        <v>Pending</v>
      </c>
      <c r="O60" s="2"/>
    </row>
    <row r="61" spans="1:15" ht="24" customHeight="1" x14ac:dyDescent="0.25">
      <c r="A61" s="2">
        <v>60</v>
      </c>
      <c r="B61" s="2" t="s">
        <v>221</v>
      </c>
      <c r="C61" s="2" t="s">
        <v>256</v>
      </c>
      <c r="D61" s="2" t="s">
        <v>271</v>
      </c>
      <c r="E61" s="2" t="s">
        <v>272</v>
      </c>
      <c r="F61" s="2" t="s">
        <v>273</v>
      </c>
      <c r="G61" s="2" t="s">
        <v>274</v>
      </c>
      <c r="H61" s="6" t="s">
        <v>42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5" t="str">
        <f t="shared" si="0"/>
        <v>Pending</v>
      </c>
      <c r="O61" s="2" t="s">
        <v>91</v>
      </c>
    </row>
    <row r="62" spans="1:15" ht="24" customHeight="1" x14ac:dyDescent="0.25">
      <c r="A62" s="2">
        <v>61</v>
      </c>
      <c r="B62" s="2" t="s">
        <v>221</v>
      </c>
      <c r="C62" s="2" t="s">
        <v>256</v>
      </c>
      <c r="D62" s="2" t="s">
        <v>275</v>
      </c>
      <c r="E62" s="2" t="s">
        <v>276</v>
      </c>
      <c r="F62" s="2" t="s">
        <v>277</v>
      </c>
      <c r="G62" s="2" t="s">
        <v>278</v>
      </c>
      <c r="H62" s="6" t="s">
        <v>42</v>
      </c>
      <c r="I62" s="4" t="s">
        <v>22</v>
      </c>
      <c r="J62" s="4" t="s">
        <v>23</v>
      </c>
      <c r="K62" s="4" t="s">
        <v>23</v>
      </c>
      <c r="L62" s="4" t="s">
        <v>23</v>
      </c>
      <c r="M62" s="4" t="s">
        <v>23</v>
      </c>
      <c r="N62" s="5" t="str">
        <f t="shared" si="0"/>
        <v>In Progress</v>
      </c>
      <c r="O62" s="2" t="s">
        <v>24</v>
      </c>
    </row>
    <row r="63" spans="1:15" ht="24" customHeight="1" x14ac:dyDescent="0.25">
      <c r="A63" s="2">
        <v>62</v>
      </c>
      <c r="B63" s="2" t="s">
        <v>221</v>
      </c>
      <c r="C63" s="2" t="s">
        <v>256</v>
      </c>
      <c r="D63" s="2" t="s">
        <v>279</v>
      </c>
      <c r="E63" s="2" t="s">
        <v>280</v>
      </c>
      <c r="F63" s="2" t="s">
        <v>281</v>
      </c>
      <c r="G63" s="2" t="s">
        <v>282</v>
      </c>
      <c r="H63" s="6" t="s">
        <v>42</v>
      </c>
      <c r="I63" s="4" t="s">
        <v>22</v>
      </c>
      <c r="J63" s="4" t="s">
        <v>23</v>
      </c>
      <c r="K63" s="4" t="s">
        <v>23</v>
      </c>
      <c r="L63" s="4" t="s">
        <v>23</v>
      </c>
      <c r="M63" s="4" t="s">
        <v>23</v>
      </c>
      <c r="N63" s="5" t="str">
        <f t="shared" si="0"/>
        <v>In Progress</v>
      </c>
      <c r="O63" s="2" t="s">
        <v>24</v>
      </c>
    </row>
    <row r="64" spans="1:15" ht="24" customHeight="1" x14ac:dyDescent="0.25">
      <c r="A64" s="2">
        <v>63</v>
      </c>
      <c r="B64" s="2" t="s">
        <v>221</v>
      </c>
      <c r="C64" s="2" t="s">
        <v>256</v>
      </c>
      <c r="D64" s="2" t="s">
        <v>283</v>
      </c>
      <c r="E64" s="2" t="s">
        <v>284</v>
      </c>
      <c r="F64" s="2" t="s">
        <v>285</v>
      </c>
      <c r="G64" s="2" t="s">
        <v>286</v>
      </c>
      <c r="H64" s="6" t="s">
        <v>42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5" t="str">
        <f t="shared" si="0"/>
        <v>Pending</v>
      </c>
      <c r="O64" s="2" t="s">
        <v>287</v>
      </c>
    </row>
    <row r="65" spans="1:15" ht="24" customHeight="1" x14ac:dyDescent="0.25">
      <c r="A65" s="2">
        <v>64</v>
      </c>
      <c r="B65" s="2" t="s">
        <v>221</v>
      </c>
      <c r="C65" s="2" t="s">
        <v>256</v>
      </c>
      <c r="D65" s="2" t="s">
        <v>288</v>
      </c>
      <c r="E65" s="2" t="s">
        <v>289</v>
      </c>
      <c r="F65" s="2" t="s">
        <v>290</v>
      </c>
      <c r="G65" s="2" t="s">
        <v>291</v>
      </c>
      <c r="H65" s="3" t="s">
        <v>21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5" t="str">
        <f t="shared" si="0"/>
        <v>Pending</v>
      </c>
      <c r="O65" s="2" t="s">
        <v>24</v>
      </c>
    </row>
    <row r="66" spans="1:15" ht="24" customHeight="1" x14ac:dyDescent="0.25">
      <c r="A66" s="2">
        <v>65</v>
      </c>
      <c r="B66" s="2" t="s">
        <v>292</v>
      </c>
      <c r="C66" s="2" t="s">
        <v>293</v>
      </c>
      <c r="D66" s="2" t="s">
        <v>294</v>
      </c>
      <c r="E66" s="2" t="s">
        <v>295</v>
      </c>
      <c r="F66" s="2" t="s">
        <v>296</v>
      </c>
      <c r="G66" s="2" t="s">
        <v>297</v>
      </c>
      <c r="H66" s="3" t="s">
        <v>21</v>
      </c>
      <c r="I66" s="4" t="s">
        <v>22</v>
      </c>
      <c r="J66" s="4" t="s">
        <v>23</v>
      </c>
      <c r="K66" s="4" t="s">
        <v>23</v>
      </c>
      <c r="L66" s="4" t="s">
        <v>23</v>
      </c>
      <c r="M66" s="4" t="s">
        <v>23</v>
      </c>
      <c r="N66" s="5" t="str">
        <f t="shared" si="0"/>
        <v>In Progress</v>
      </c>
      <c r="O66" s="2"/>
    </row>
    <row r="67" spans="1:15" ht="24" customHeight="1" x14ac:dyDescent="0.25">
      <c r="A67" s="2">
        <v>66</v>
      </c>
      <c r="B67" s="2" t="s">
        <v>292</v>
      </c>
      <c r="C67" s="2" t="s">
        <v>293</v>
      </c>
      <c r="D67" s="2" t="s">
        <v>298</v>
      </c>
      <c r="E67" s="2" t="s">
        <v>299</v>
      </c>
      <c r="F67" s="2" t="s">
        <v>300</v>
      </c>
      <c r="G67" s="2" t="s">
        <v>301</v>
      </c>
      <c r="H67" s="6" t="s">
        <v>42</v>
      </c>
      <c r="I67" s="4" t="s">
        <v>22</v>
      </c>
      <c r="J67" s="4" t="s">
        <v>23</v>
      </c>
      <c r="K67" s="4" t="s">
        <v>23</v>
      </c>
      <c r="L67" s="4" t="s">
        <v>23</v>
      </c>
      <c r="M67" s="4" t="s">
        <v>23</v>
      </c>
      <c r="N67" s="5" t="str">
        <f t="shared" si="0"/>
        <v>In Progress</v>
      </c>
      <c r="O67" s="2" t="s">
        <v>24</v>
      </c>
    </row>
    <row r="68" spans="1:15" ht="24" customHeight="1" x14ac:dyDescent="0.25">
      <c r="A68" s="2">
        <v>67</v>
      </c>
      <c r="B68" s="2" t="s">
        <v>292</v>
      </c>
      <c r="C68" s="2" t="s">
        <v>293</v>
      </c>
      <c r="D68" s="2" t="s">
        <v>302</v>
      </c>
      <c r="E68" s="2" t="s">
        <v>303</v>
      </c>
      <c r="F68" s="2" t="s">
        <v>304</v>
      </c>
      <c r="G68" s="2" t="s">
        <v>305</v>
      </c>
      <c r="H68" s="6" t="s">
        <v>42</v>
      </c>
      <c r="I68" s="4" t="s">
        <v>22</v>
      </c>
      <c r="J68" s="4" t="s">
        <v>23</v>
      </c>
      <c r="K68" s="4" t="s">
        <v>23</v>
      </c>
      <c r="L68" s="4" t="s">
        <v>23</v>
      </c>
      <c r="M68" s="4" t="s">
        <v>23</v>
      </c>
      <c r="N68" s="5" t="str">
        <f t="shared" si="0"/>
        <v>In Progress</v>
      </c>
      <c r="O68" s="2" t="s">
        <v>306</v>
      </c>
    </row>
    <row r="69" spans="1:15" ht="24" customHeight="1" x14ac:dyDescent="0.25">
      <c r="A69" s="2">
        <v>68</v>
      </c>
      <c r="B69" s="2" t="s">
        <v>292</v>
      </c>
      <c r="C69" s="2" t="s">
        <v>293</v>
      </c>
      <c r="D69" s="2" t="s">
        <v>307</v>
      </c>
      <c r="E69" s="2" t="s">
        <v>308</v>
      </c>
      <c r="F69" s="2" t="s">
        <v>309</v>
      </c>
      <c r="G69" s="2" t="s">
        <v>310</v>
      </c>
      <c r="H69" s="6" t="s">
        <v>42</v>
      </c>
      <c r="I69" s="4" t="s">
        <v>22</v>
      </c>
      <c r="J69" s="4" t="s">
        <v>23</v>
      </c>
      <c r="K69" s="4" t="s">
        <v>23</v>
      </c>
      <c r="L69" s="4" t="s">
        <v>23</v>
      </c>
      <c r="M69" s="4" t="s">
        <v>23</v>
      </c>
      <c r="N69" s="5" t="str">
        <f t="shared" si="0"/>
        <v>In Progress</v>
      </c>
      <c r="O69" s="2" t="s">
        <v>306</v>
      </c>
    </row>
    <row r="70" spans="1:15" ht="24" customHeight="1" x14ac:dyDescent="0.25">
      <c r="A70" s="2">
        <v>69</v>
      </c>
      <c r="B70" s="2" t="s">
        <v>292</v>
      </c>
      <c r="C70" s="2" t="s">
        <v>293</v>
      </c>
      <c r="D70" s="2" t="s">
        <v>311</v>
      </c>
      <c r="E70" s="2" t="s">
        <v>312</v>
      </c>
      <c r="F70" s="2" t="s">
        <v>313</v>
      </c>
      <c r="G70" s="2" t="s">
        <v>314</v>
      </c>
      <c r="H70" s="6" t="s">
        <v>42</v>
      </c>
      <c r="I70" s="4" t="s">
        <v>22</v>
      </c>
      <c r="J70" s="4" t="s">
        <v>23</v>
      </c>
      <c r="K70" s="4" t="s">
        <v>23</v>
      </c>
      <c r="L70" s="4" t="s">
        <v>23</v>
      </c>
      <c r="M70" s="4" t="s">
        <v>23</v>
      </c>
      <c r="N70" s="5" t="str">
        <f t="shared" si="0"/>
        <v>In Progress</v>
      </c>
      <c r="O70" s="2" t="s">
        <v>24</v>
      </c>
    </row>
    <row r="71" spans="1:15" ht="24" customHeight="1" x14ac:dyDescent="0.25">
      <c r="A71" s="2">
        <v>70</v>
      </c>
      <c r="B71" s="2" t="s">
        <v>292</v>
      </c>
      <c r="C71" s="2" t="s">
        <v>293</v>
      </c>
      <c r="D71" s="2" t="s">
        <v>315</v>
      </c>
      <c r="E71" s="2" t="s">
        <v>316</v>
      </c>
      <c r="F71" s="2" t="s">
        <v>317</v>
      </c>
      <c r="G71" s="2" t="s">
        <v>318</v>
      </c>
      <c r="H71" s="6" t="s">
        <v>42</v>
      </c>
      <c r="I71" s="4" t="s">
        <v>22</v>
      </c>
      <c r="J71" s="4" t="s">
        <v>23</v>
      </c>
      <c r="K71" s="4" t="s">
        <v>23</v>
      </c>
      <c r="L71" s="4" t="s">
        <v>23</v>
      </c>
      <c r="M71" s="4" t="s">
        <v>23</v>
      </c>
      <c r="N71" s="5" t="str">
        <f t="shared" si="0"/>
        <v>In Progress</v>
      </c>
      <c r="O71" s="2" t="s">
        <v>24</v>
      </c>
    </row>
    <row r="72" spans="1:15" ht="24" customHeight="1" x14ac:dyDescent="0.25">
      <c r="A72" s="2">
        <v>71</v>
      </c>
      <c r="B72" s="2" t="s">
        <v>292</v>
      </c>
      <c r="C72" s="2" t="s">
        <v>293</v>
      </c>
      <c r="D72" s="2" t="s">
        <v>319</v>
      </c>
      <c r="E72" s="2" t="s">
        <v>320</v>
      </c>
      <c r="F72" s="2" t="s">
        <v>321</v>
      </c>
      <c r="G72" s="2" t="s">
        <v>322</v>
      </c>
      <c r="H72" s="6" t="s">
        <v>42</v>
      </c>
      <c r="I72" s="4" t="s">
        <v>22</v>
      </c>
      <c r="J72" s="4" t="s">
        <v>23</v>
      </c>
      <c r="K72" s="4" t="s">
        <v>23</v>
      </c>
      <c r="L72" s="4" t="s">
        <v>23</v>
      </c>
      <c r="M72" s="4" t="s">
        <v>23</v>
      </c>
      <c r="N72" s="5" t="str">
        <f t="shared" si="0"/>
        <v>In Progress</v>
      </c>
      <c r="O72" s="2"/>
    </row>
    <row r="73" spans="1:15" ht="24" customHeight="1" x14ac:dyDescent="0.25">
      <c r="A73" s="2">
        <v>72</v>
      </c>
      <c r="B73" s="2" t="s">
        <v>292</v>
      </c>
      <c r="C73" s="2" t="s">
        <v>293</v>
      </c>
      <c r="D73" s="2" t="s">
        <v>323</v>
      </c>
      <c r="E73" s="2" t="s">
        <v>324</v>
      </c>
      <c r="F73" s="2" t="s">
        <v>325</v>
      </c>
      <c r="G73" s="2" t="s">
        <v>326</v>
      </c>
      <c r="H73" s="6" t="s">
        <v>42</v>
      </c>
      <c r="I73" s="4" t="s">
        <v>22</v>
      </c>
      <c r="J73" s="4" t="s">
        <v>23</v>
      </c>
      <c r="K73" s="4" t="s">
        <v>23</v>
      </c>
      <c r="L73" s="4" t="s">
        <v>23</v>
      </c>
      <c r="M73" s="4" t="s">
        <v>23</v>
      </c>
      <c r="N73" s="5" t="str">
        <f t="shared" si="0"/>
        <v>In Progress</v>
      </c>
      <c r="O73" s="2" t="s">
        <v>24</v>
      </c>
    </row>
    <row r="74" spans="1:15" ht="24" customHeight="1" x14ac:dyDescent="0.25">
      <c r="A74" s="2">
        <v>73</v>
      </c>
      <c r="B74" s="2" t="s">
        <v>292</v>
      </c>
      <c r="C74" s="2" t="s">
        <v>293</v>
      </c>
      <c r="D74" s="2" t="s">
        <v>327</v>
      </c>
      <c r="E74" s="2" t="s">
        <v>328</v>
      </c>
      <c r="F74" s="2" t="s">
        <v>329</v>
      </c>
      <c r="G74" s="2" t="s">
        <v>330</v>
      </c>
      <c r="H74" s="7" t="s">
        <v>61</v>
      </c>
      <c r="I74" s="4" t="s">
        <v>22</v>
      </c>
      <c r="J74" s="4" t="s">
        <v>23</v>
      </c>
      <c r="K74" s="4" t="s">
        <v>23</v>
      </c>
      <c r="L74" s="4" t="s">
        <v>23</v>
      </c>
      <c r="M74" s="4" t="s">
        <v>23</v>
      </c>
      <c r="N74" s="5" t="str">
        <f t="shared" si="0"/>
        <v>In Progress</v>
      </c>
      <c r="O74" s="2"/>
    </row>
    <row r="75" spans="1:15" ht="24" customHeight="1" x14ac:dyDescent="0.25">
      <c r="A75" s="2">
        <v>74</v>
      </c>
      <c r="B75" s="2" t="s">
        <v>292</v>
      </c>
      <c r="C75" s="2" t="s">
        <v>293</v>
      </c>
      <c r="D75" s="2" t="s">
        <v>331</v>
      </c>
      <c r="E75" s="2" t="s">
        <v>332</v>
      </c>
      <c r="F75" s="2" t="s">
        <v>333</v>
      </c>
      <c r="G75" s="2" t="s">
        <v>334</v>
      </c>
      <c r="H75" s="2" t="s">
        <v>220</v>
      </c>
      <c r="I75" s="4" t="s">
        <v>22</v>
      </c>
      <c r="J75" s="4" t="s">
        <v>23</v>
      </c>
      <c r="K75" s="4" t="s">
        <v>23</v>
      </c>
      <c r="L75" s="4" t="s">
        <v>23</v>
      </c>
      <c r="M75" s="4" t="s">
        <v>23</v>
      </c>
      <c r="N75" s="5" t="str">
        <f t="shared" si="0"/>
        <v>In Progress</v>
      </c>
      <c r="O75" s="2"/>
    </row>
    <row r="76" spans="1:15" ht="24" customHeight="1" x14ac:dyDescent="0.25">
      <c r="A76" s="2">
        <v>75</v>
      </c>
      <c r="B76" s="2" t="s">
        <v>292</v>
      </c>
      <c r="C76" s="2" t="s">
        <v>293</v>
      </c>
      <c r="D76" s="2" t="s">
        <v>335</v>
      </c>
      <c r="E76" s="2" t="s">
        <v>336</v>
      </c>
      <c r="F76" s="2" t="s">
        <v>337</v>
      </c>
      <c r="G76" s="2" t="s">
        <v>338</v>
      </c>
      <c r="H76" s="6" t="s">
        <v>42</v>
      </c>
      <c r="I76" s="4" t="s">
        <v>22</v>
      </c>
      <c r="J76" s="4" t="s">
        <v>23</v>
      </c>
      <c r="K76" s="4" t="s">
        <v>23</v>
      </c>
      <c r="L76" s="4" t="s">
        <v>23</v>
      </c>
      <c r="M76" s="4" t="s">
        <v>23</v>
      </c>
      <c r="N76" s="5" t="str">
        <f t="shared" si="0"/>
        <v>In Progress</v>
      </c>
      <c r="O76" s="2" t="s">
        <v>24</v>
      </c>
    </row>
    <row r="77" spans="1:15" ht="24" customHeight="1" x14ac:dyDescent="0.25">
      <c r="A77" s="2">
        <v>76</v>
      </c>
      <c r="B77" s="2" t="s">
        <v>292</v>
      </c>
      <c r="C77" s="2" t="s">
        <v>339</v>
      </c>
      <c r="D77" s="2" t="s">
        <v>340</v>
      </c>
      <c r="E77" s="2" t="s">
        <v>341</v>
      </c>
      <c r="F77" s="2" t="s">
        <v>342</v>
      </c>
      <c r="G77" s="2" t="s">
        <v>343</v>
      </c>
      <c r="H77" s="6" t="s">
        <v>42</v>
      </c>
      <c r="I77" s="4" t="s">
        <v>22</v>
      </c>
      <c r="J77" s="4" t="s">
        <v>23</v>
      </c>
      <c r="K77" s="4" t="s">
        <v>23</v>
      </c>
      <c r="L77" s="4" t="s">
        <v>23</v>
      </c>
      <c r="M77" s="4" t="s">
        <v>23</v>
      </c>
      <c r="N77" s="5" t="str">
        <f t="shared" si="0"/>
        <v>In Progress</v>
      </c>
      <c r="O77" s="2" t="s">
        <v>24</v>
      </c>
    </row>
    <row r="78" spans="1:15" ht="24" customHeight="1" x14ac:dyDescent="0.25">
      <c r="A78" s="2">
        <v>77</v>
      </c>
      <c r="B78" s="2" t="s">
        <v>292</v>
      </c>
      <c r="C78" s="2" t="s">
        <v>339</v>
      </c>
      <c r="D78" s="2" t="s">
        <v>344</v>
      </c>
      <c r="E78" s="2" t="s">
        <v>345</v>
      </c>
      <c r="F78" s="2" t="s">
        <v>346</v>
      </c>
      <c r="G78" s="2" t="s">
        <v>347</v>
      </c>
      <c r="H78" s="6" t="s">
        <v>42</v>
      </c>
      <c r="I78" s="4" t="s">
        <v>22</v>
      </c>
      <c r="J78" s="4" t="s">
        <v>23</v>
      </c>
      <c r="K78" s="4" t="s">
        <v>23</v>
      </c>
      <c r="L78" s="4" t="s">
        <v>23</v>
      </c>
      <c r="M78" s="4" t="s">
        <v>23</v>
      </c>
      <c r="N78" s="5" t="str">
        <f t="shared" si="0"/>
        <v>In Progress</v>
      </c>
      <c r="O78" s="2" t="s">
        <v>24</v>
      </c>
    </row>
    <row r="79" spans="1:15" ht="24" customHeight="1" x14ac:dyDescent="0.25">
      <c r="A79" s="2">
        <v>78</v>
      </c>
      <c r="B79" s="2" t="s">
        <v>292</v>
      </c>
      <c r="C79" s="2" t="s">
        <v>339</v>
      </c>
      <c r="D79" s="2" t="s">
        <v>348</v>
      </c>
      <c r="E79" s="2" t="s">
        <v>349</v>
      </c>
      <c r="F79" s="2" t="s">
        <v>350</v>
      </c>
      <c r="G79" s="2" t="s">
        <v>175</v>
      </c>
      <c r="H79" s="7" t="s">
        <v>61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5" t="str">
        <f t="shared" si="0"/>
        <v>Pending</v>
      </c>
      <c r="O79" s="2" t="s">
        <v>24</v>
      </c>
    </row>
    <row r="80" spans="1:15" ht="24" customHeight="1" x14ac:dyDescent="0.25">
      <c r="A80" s="2">
        <v>79</v>
      </c>
      <c r="B80" s="2" t="s">
        <v>292</v>
      </c>
      <c r="C80" s="2" t="s">
        <v>351</v>
      </c>
      <c r="D80" s="2" t="s">
        <v>352</v>
      </c>
      <c r="E80" s="2" t="s">
        <v>353</v>
      </c>
      <c r="F80" s="2" t="s">
        <v>354</v>
      </c>
      <c r="G80" s="2" t="s">
        <v>355</v>
      </c>
      <c r="H80" s="6" t="s">
        <v>42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5" t="str">
        <f t="shared" si="0"/>
        <v>Pending</v>
      </c>
      <c r="O80" s="2" t="s">
        <v>356</v>
      </c>
    </row>
    <row r="81" spans="1:15" ht="24" customHeight="1" x14ac:dyDescent="0.25">
      <c r="A81" s="2">
        <v>80</v>
      </c>
      <c r="B81" s="2" t="s">
        <v>292</v>
      </c>
      <c r="C81" s="2" t="s">
        <v>351</v>
      </c>
      <c r="D81" s="2" t="s">
        <v>357</v>
      </c>
      <c r="E81" s="2" t="s">
        <v>358</v>
      </c>
      <c r="F81" s="2" t="s">
        <v>359</v>
      </c>
      <c r="G81" s="2" t="s">
        <v>360</v>
      </c>
      <c r="H81" s="7" t="s">
        <v>61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5" t="str">
        <f t="shared" si="0"/>
        <v>Pending</v>
      </c>
      <c r="O81" s="2" t="s">
        <v>24</v>
      </c>
    </row>
    <row r="82" spans="1:15" ht="24" customHeight="1" x14ac:dyDescent="0.25">
      <c r="A82" s="2">
        <v>81</v>
      </c>
      <c r="B82" s="2" t="s">
        <v>361</v>
      </c>
      <c r="C82" s="2" t="s">
        <v>362</v>
      </c>
      <c r="D82" s="2" t="s">
        <v>363</v>
      </c>
      <c r="E82" s="2" t="s">
        <v>364</v>
      </c>
      <c r="F82" s="2" t="s">
        <v>365</v>
      </c>
      <c r="G82" s="2" t="s">
        <v>366</v>
      </c>
      <c r="H82" s="3" t="s">
        <v>21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5" t="str">
        <f t="shared" si="0"/>
        <v>Pending</v>
      </c>
      <c r="O82" s="2" t="s">
        <v>91</v>
      </c>
    </row>
    <row r="83" spans="1:15" ht="24" customHeight="1" x14ac:dyDescent="0.25">
      <c r="A83" s="2">
        <v>82</v>
      </c>
      <c r="B83" s="2" t="s">
        <v>361</v>
      </c>
      <c r="C83" s="2" t="s">
        <v>362</v>
      </c>
      <c r="D83" s="2" t="s">
        <v>367</v>
      </c>
      <c r="E83" s="2" t="s">
        <v>368</v>
      </c>
      <c r="F83" s="2" t="s">
        <v>369</v>
      </c>
      <c r="G83" s="2" t="s">
        <v>370</v>
      </c>
      <c r="H83" s="3" t="s">
        <v>21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5" t="str">
        <f t="shared" si="0"/>
        <v>Pending</v>
      </c>
      <c r="O83" s="2" t="s">
        <v>91</v>
      </c>
    </row>
    <row r="84" spans="1:15" ht="24" customHeight="1" x14ac:dyDescent="0.25">
      <c r="A84" s="2">
        <v>83</v>
      </c>
      <c r="B84" s="2" t="s">
        <v>361</v>
      </c>
      <c r="C84" s="2" t="s">
        <v>362</v>
      </c>
      <c r="D84" s="2" t="s">
        <v>371</v>
      </c>
      <c r="E84" s="2" t="s">
        <v>372</v>
      </c>
      <c r="F84" s="2" t="s">
        <v>373</v>
      </c>
      <c r="G84" s="2" t="s">
        <v>374</v>
      </c>
      <c r="H84" s="6" t="s">
        <v>42</v>
      </c>
      <c r="I84" s="4" t="s">
        <v>22</v>
      </c>
      <c r="J84" s="4" t="s">
        <v>23</v>
      </c>
      <c r="K84" s="4" t="s">
        <v>23</v>
      </c>
      <c r="L84" s="4" t="s">
        <v>23</v>
      </c>
      <c r="M84" s="4" t="s">
        <v>23</v>
      </c>
      <c r="N84" s="5" t="str">
        <f t="shared" si="0"/>
        <v>In Progress</v>
      </c>
      <c r="O84" s="2" t="s">
        <v>139</v>
      </c>
    </row>
    <row r="85" spans="1:15" ht="24" customHeight="1" x14ac:dyDescent="0.25">
      <c r="A85" s="2">
        <v>84</v>
      </c>
      <c r="B85" s="2" t="s">
        <v>361</v>
      </c>
      <c r="C85" s="2" t="s">
        <v>362</v>
      </c>
      <c r="D85" s="2" t="s">
        <v>375</v>
      </c>
      <c r="E85" s="2" t="s">
        <v>376</v>
      </c>
      <c r="F85" s="2" t="s">
        <v>377</v>
      </c>
      <c r="G85" s="2" t="s">
        <v>378</v>
      </c>
      <c r="H85" s="6" t="s">
        <v>42</v>
      </c>
      <c r="I85" s="4" t="s">
        <v>22</v>
      </c>
      <c r="J85" s="4" t="s">
        <v>23</v>
      </c>
      <c r="K85" s="4" t="s">
        <v>23</v>
      </c>
      <c r="L85" s="4" t="s">
        <v>23</v>
      </c>
      <c r="M85" s="4" t="s">
        <v>23</v>
      </c>
      <c r="N85" s="5" t="str">
        <f t="shared" si="0"/>
        <v>In Progress</v>
      </c>
      <c r="O85" s="2" t="s">
        <v>126</v>
      </c>
    </row>
    <row r="86" spans="1:15" ht="24" customHeight="1" x14ac:dyDescent="0.25">
      <c r="A86" s="2">
        <v>85</v>
      </c>
      <c r="B86" s="2" t="s">
        <v>361</v>
      </c>
      <c r="C86" s="2" t="s">
        <v>362</v>
      </c>
      <c r="D86" s="2" t="s">
        <v>379</v>
      </c>
      <c r="E86" s="2" t="s">
        <v>380</v>
      </c>
      <c r="F86" s="2" t="s">
        <v>381</v>
      </c>
      <c r="G86" s="2" t="s">
        <v>382</v>
      </c>
      <c r="H86" s="6" t="s">
        <v>42</v>
      </c>
      <c r="I86" s="4" t="s">
        <v>22</v>
      </c>
      <c r="J86" s="4" t="s">
        <v>23</v>
      </c>
      <c r="K86" s="4" t="s">
        <v>23</v>
      </c>
      <c r="L86" s="4" t="s">
        <v>23</v>
      </c>
      <c r="M86" s="4" t="s">
        <v>23</v>
      </c>
      <c r="N86" s="5" t="str">
        <f t="shared" si="0"/>
        <v>In Progress</v>
      </c>
      <c r="O86" s="2"/>
    </row>
    <row r="87" spans="1:15" ht="24" customHeight="1" x14ac:dyDescent="0.25">
      <c r="A87" s="2">
        <v>86</v>
      </c>
      <c r="B87" s="2" t="s">
        <v>361</v>
      </c>
      <c r="C87" s="2" t="s">
        <v>362</v>
      </c>
      <c r="D87" s="2" t="s">
        <v>383</v>
      </c>
      <c r="E87" s="2" t="s">
        <v>384</v>
      </c>
      <c r="F87" s="2" t="s">
        <v>385</v>
      </c>
      <c r="G87" s="2" t="s">
        <v>382</v>
      </c>
      <c r="H87" s="6" t="s">
        <v>42</v>
      </c>
      <c r="I87" s="4" t="s">
        <v>22</v>
      </c>
      <c r="J87" s="4" t="s">
        <v>23</v>
      </c>
      <c r="K87" s="4" t="s">
        <v>23</v>
      </c>
      <c r="L87" s="4" t="s">
        <v>23</v>
      </c>
      <c r="M87" s="4" t="s">
        <v>23</v>
      </c>
      <c r="N87" s="5" t="str">
        <f t="shared" si="0"/>
        <v>In Progress</v>
      </c>
      <c r="O87" s="2" t="s">
        <v>24</v>
      </c>
    </row>
    <row r="88" spans="1:15" ht="24" customHeight="1" x14ac:dyDescent="0.25">
      <c r="A88" s="2">
        <v>87</v>
      </c>
      <c r="B88" s="2" t="s">
        <v>361</v>
      </c>
      <c r="C88" s="2" t="s">
        <v>362</v>
      </c>
      <c r="D88" s="2" t="s">
        <v>386</v>
      </c>
      <c r="E88" s="2" t="s">
        <v>387</v>
      </c>
      <c r="F88" s="2" t="s">
        <v>388</v>
      </c>
      <c r="G88" s="2" t="s">
        <v>382</v>
      </c>
      <c r="H88" s="7" t="s">
        <v>61</v>
      </c>
      <c r="I88" s="4" t="s">
        <v>22</v>
      </c>
      <c r="J88" s="4" t="s">
        <v>23</v>
      </c>
      <c r="K88" s="4" t="s">
        <v>23</v>
      </c>
      <c r="L88" s="4" t="s">
        <v>23</v>
      </c>
      <c r="M88" s="4" t="s">
        <v>23</v>
      </c>
      <c r="N88" s="5" t="str">
        <f t="shared" si="0"/>
        <v>In Progress</v>
      </c>
      <c r="O88" s="2" t="s">
        <v>24</v>
      </c>
    </row>
    <row r="89" spans="1:15" ht="24" customHeight="1" x14ac:dyDescent="0.25">
      <c r="A89" s="2">
        <v>88</v>
      </c>
      <c r="B89" s="2" t="s">
        <v>361</v>
      </c>
      <c r="C89" s="2" t="s">
        <v>362</v>
      </c>
      <c r="D89" s="2" t="s">
        <v>389</v>
      </c>
      <c r="E89" s="2" t="s">
        <v>390</v>
      </c>
      <c r="F89" s="2" t="s">
        <v>391</v>
      </c>
      <c r="G89" s="2" t="s">
        <v>392</v>
      </c>
      <c r="H89" s="6" t="s">
        <v>42</v>
      </c>
      <c r="I89" s="4" t="s">
        <v>22</v>
      </c>
      <c r="J89" s="4" t="s">
        <v>23</v>
      </c>
      <c r="K89" s="4" t="s">
        <v>23</v>
      </c>
      <c r="L89" s="4" t="s">
        <v>23</v>
      </c>
      <c r="M89" s="4" t="s">
        <v>23</v>
      </c>
      <c r="N89" s="5" t="str">
        <f t="shared" si="0"/>
        <v>In Progress</v>
      </c>
      <c r="O89" s="2" t="s">
        <v>126</v>
      </c>
    </row>
    <row r="90" spans="1:15" ht="24" customHeight="1" x14ac:dyDescent="0.25">
      <c r="A90" s="2">
        <v>89</v>
      </c>
      <c r="B90" s="2" t="s">
        <v>361</v>
      </c>
      <c r="C90" s="2" t="s">
        <v>362</v>
      </c>
      <c r="D90" s="2" t="s">
        <v>393</v>
      </c>
      <c r="E90" s="2" t="s">
        <v>394</v>
      </c>
      <c r="F90" s="2" t="s">
        <v>395</v>
      </c>
      <c r="G90" s="2" t="s">
        <v>396</v>
      </c>
      <c r="H90" s="6" t="s">
        <v>42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5" t="str">
        <f t="shared" si="0"/>
        <v>Pending</v>
      </c>
      <c r="O90" s="2" t="s">
        <v>91</v>
      </c>
    </row>
    <row r="91" spans="1:15" ht="24" customHeight="1" x14ac:dyDescent="0.25">
      <c r="A91" s="2">
        <v>90</v>
      </c>
      <c r="B91" s="2" t="s">
        <v>361</v>
      </c>
      <c r="C91" s="2" t="s">
        <v>362</v>
      </c>
      <c r="D91" s="2" t="s">
        <v>397</v>
      </c>
      <c r="E91" s="2" t="s">
        <v>398</v>
      </c>
      <c r="F91" s="2" t="s">
        <v>399</v>
      </c>
      <c r="G91" s="2" t="s">
        <v>400</v>
      </c>
      <c r="H91" s="7" t="s">
        <v>61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5" t="str">
        <f t="shared" si="0"/>
        <v>Pending</v>
      </c>
      <c r="O91" s="2" t="s">
        <v>91</v>
      </c>
    </row>
    <row r="92" spans="1:15" ht="24" customHeight="1" x14ac:dyDescent="0.25">
      <c r="A92" s="2">
        <v>91</v>
      </c>
      <c r="B92" s="2" t="s">
        <v>361</v>
      </c>
      <c r="C92" s="2" t="s">
        <v>362</v>
      </c>
      <c r="D92" s="2" t="s">
        <v>401</v>
      </c>
      <c r="E92" s="2" t="s">
        <v>402</v>
      </c>
      <c r="F92" s="2" t="s">
        <v>403</v>
      </c>
      <c r="G92" s="2" t="s">
        <v>404</v>
      </c>
      <c r="H92" s="6" t="s">
        <v>42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5" t="str">
        <f t="shared" si="0"/>
        <v>Pending</v>
      </c>
      <c r="O92" s="2" t="s">
        <v>91</v>
      </c>
    </row>
    <row r="93" spans="1:15" ht="24" customHeight="1" x14ac:dyDescent="0.25">
      <c r="A93" s="2">
        <v>92</v>
      </c>
      <c r="B93" s="2" t="s">
        <v>361</v>
      </c>
      <c r="C93" s="2" t="s">
        <v>362</v>
      </c>
      <c r="D93" s="2" t="s">
        <v>405</v>
      </c>
      <c r="E93" s="2" t="s">
        <v>406</v>
      </c>
      <c r="F93" s="2" t="s">
        <v>407</v>
      </c>
      <c r="G93" s="2" t="s">
        <v>408</v>
      </c>
      <c r="H93" s="6" t="s">
        <v>42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5" t="str">
        <f t="shared" si="0"/>
        <v>Pending</v>
      </c>
      <c r="O93" s="2" t="s">
        <v>409</v>
      </c>
    </row>
    <row r="94" spans="1:15" ht="24" customHeight="1" x14ac:dyDescent="0.25">
      <c r="A94" s="2">
        <v>93</v>
      </c>
      <c r="B94" s="2" t="s">
        <v>361</v>
      </c>
      <c r="C94" s="2" t="s">
        <v>362</v>
      </c>
      <c r="D94" s="2" t="s">
        <v>410</v>
      </c>
      <c r="E94" s="2" t="s">
        <v>411</v>
      </c>
      <c r="F94" s="2" t="s">
        <v>412</v>
      </c>
      <c r="G94" s="2" t="s">
        <v>413</v>
      </c>
      <c r="H94" s="7" t="s">
        <v>61</v>
      </c>
      <c r="I94" s="4" t="s">
        <v>22</v>
      </c>
      <c r="J94" s="4" t="s">
        <v>23</v>
      </c>
      <c r="K94" s="4" t="s">
        <v>23</v>
      </c>
      <c r="L94" s="4" t="s">
        <v>23</v>
      </c>
      <c r="M94" s="4" t="s">
        <v>23</v>
      </c>
      <c r="N94" s="5" t="str">
        <f t="shared" si="0"/>
        <v>In Progress</v>
      </c>
      <c r="O94" s="2" t="s">
        <v>414</v>
      </c>
    </row>
    <row r="95" spans="1:15" ht="24" customHeight="1" x14ac:dyDescent="0.25">
      <c r="A95" s="2">
        <v>94</v>
      </c>
      <c r="B95" s="2" t="s">
        <v>361</v>
      </c>
      <c r="C95" s="2" t="s">
        <v>415</v>
      </c>
      <c r="D95" s="2" t="s">
        <v>416</v>
      </c>
      <c r="E95" s="2" t="s">
        <v>417</v>
      </c>
      <c r="F95" s="2" t="s">
        <v>418</v>
      </c>
      <c r="G95" s="2" t="s">
        <v>419</v>
      </c>
      <c r="H95" s="3" t="s">
        <v>21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5" t="str">
        <f t="shared" si="0"/>
        <v>Pending</v>
      </c>
      <c r="O95" s="2" t="s">
        <v>414</v>
      </c>
    </row>
    <row r="96" spans="1:15" ht="24" customHeight="1" x14ac:dyDescent="0.25">
      <c r="A96" s="2">
        <v>95</v>
      </c>
      <c r="B96" s="2" t="s">
        <v>361</v>
      </c>
      <c r="C96" s="2" t="s">
        <v>415</v>
      </c>
      <c r="D96" s="2" t="s">
        <v>420</v>
      </c>
      <c r="E96" s="2" t="s">
        <v>421</v>
      </c>
      <c r="F96" s="2" t="s">
        <v>422</v>
      </c>
      <c r="G96" s="2" t="s">
        <v>423</v>
      </c>
      <c r="H96" s="3" t="s">
        <v>21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5" t="str">
        <f t="shared" si="0"/>
        <v>Pending</v>
      </c>
      <c r="O96" s="2" t="s">
        <v>414</v>
      </c>
    </row>
    <row r="97" spans="1:15" ht="24" customHeight="1" x14ac:dyDescent="0.25">
      <c r="A97" s="2">
        <v>96</v>
      </c>
      <c r="B97" s="2" t="s">
        <v>361</v>
      </c>
      <c r="C97" s="2" t="s">
        <v>415</v>
      </c>
      <c r="D97" s="2" t="s">
        <v>424</v>
      </c>
      <c r="E97" s="2" t="s">
        <v>425</v>
      </c>
      <c r="F97" s="2" t="s">
        <v>426</v>
      </c>
      <c r="G97" s="2" t="s">
        <v>427</v>
      </c>
      <c r="H97" s="6" t="s">
        <v>42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5" t="str">
        <f t="shared" si="0"/>
        <v>Pending</v>
      </c>
      <c r="O97" s="2" t="s">
        <v>414</v>
      </c>
    </row>
    <row r="98" spans="1:15" ht="24" customHeight="1" x14ac:dyDescent="0.25">
      <c r="A98" s="2">
        <v>97</v>
      </c>
      <c r="B98" s="2" t="s">
        <v>361</v>
      </c>
      <c r="C98" s="2" t="s">
        <v>415</v>
      </c>
      <c r="D98" s="2" t="s">
        <v>428</v>
      </c>
      <c r="E98" s="2" t="s">
        <v>429</v>
      </c>
      <c r="F98" s="2" t="s">
        <v>430</v>
      </c>
      <c r="G98" s="2" t="s">
        <v>431</v>
      </c>
      <c r="H98" s="6" t="s">
        <v>42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5" t="str">
        <f t="shared" si="0"/>
        <v>Pending</v>
      </c>
      <c r="O98" s="2" t="s">
        <v>414</v>
      </c>
    </row>
    <row r="99" spans="1:15" ht="24" customHeight="1" x14ac:dyDescent="0.25">
      <c r="A99" s="2">
        <v>98</v>
      </c>
      <c r="B99" s="2" t="s">
        <v>361</v>
      </c>
      <c r="C99" s="2" t="s">
        <v>415</v>
      </c>
      <c r="D99" s="2" t="s">
        <v>432</v>
      </c>
      <c r="E99" s="2" t="s">
        <v>433</v>
      </c>
      <c r="F99" s="2" t="s">
        <v>434</v>
      </c>
      <c r="G99" s="2" t="s">
        <v>435</v>
      </c>
      <c r="H99" s="7" t="s">
        <v>61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5" t="str">
        <f t="shared" si="0"/>
        <v>Pending</v>
      </c>
      <c r="O99" s="2" t="s">
        <v>414</v>
      </c>
    </row>
    <row r="100" spans="1:15" ht="24" customHeight="1" x14ac:dyDescent="0.25">
      <c r="A100" s="2">
        <v>99</v>
      </c>
      <c r="B100" s="2" t="s">
        <v>361</v>
      </c>
      <c r="C100" s="2" t="s">
        <v>415</v>
      </c>
      <c r="D100" s="2" t="s">
        <v>436</v>
      </c>
      <c r="E100" s="2" t="s">
        <v>437</v>
      </c>
      <c r="F100" s="2" t="s">
        <v>438</v>
      </c>
      <c r="G100" s="2" t="s">
        <v>439</v>
      </c>
      <c r="H100" s="7" t="s">
        <v>61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5" t="str">
        <f t="shared" si="0"/>
        <v>Pending</v>
      </c>
      <c r="O100" s="2" t="s">
        <v>414</v>
      </c>
    </row>
    <row r="101" spans="1:15" ht="24" customHeight="1" x14ac:dyDescent="0.25">
      <c r="A101" s="2">
        <v>100</v>
      </c>
      <c r="B101" s="2" t="s">
        <v>361</v>
      </c>
      <c r="C101" s="2" t="s">
        <v>415</v>
      </c>
      <c r="D101" s="2" t="s">
        <v>440</v>
      </c>
      <c r="E101" s="2" t="s">
        <v>441</v>
      </c>
      <c r="F101" s="2" t="s">
        <v>442</v>
      </c>
      <c r="G101" s="2" t="s">
        <v>443</v>
      </c>
      <c r="H101" s="6" t="s">
        <v>42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5" t="str">
        <f t="shared" si="0"/>
        <v>Pending</v>
      </c>
      <c r="O101" s="2" t="s">
        <v>414</v>
      </c>
    </row>
    <row r="102" spans="1:15" ht="24" customHeight="1" x14ac:dyDescent="0.25">
      <c r="A102" s="2">
        <v>101</v>
      </c>
      <c r="B102" s="2" t="s">
        <v>361</v>
      </c>
      <c r="C102" s="2" t="s">
        <v>415</v>
      </c>
      <c r="D102" s="2" t="s">
        <v>444</v>
      </c>
      <c r="E102" s="2" t="s">
        <v>445</v>
      </c>
      <c r="F102" s="2" t="s">
        <v>446</v>
      </c>
      <c r="G102" s="2" t="s">
        <v>447</v>
      </c>
      <c r="H102" s="6" t="s">
        <v>42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5" t="str">
        <f t="shared" si="0"/>
        <v>Pending</v>
      </c>
      <c r="O102" s="2" t="s">
        <v>414</v>
      </c>
    </row>
    <row r="103" spans="1:15" ht="24" customHeight="1" x14ac:dyDescent="0.25">
      <c r="A103" s="2">
        <v>102</v>
      </c>
      <c r="B103" s="2" t="s">
        <v>361</v>
      </c>
      <c r="C103" s="2" t="s">
        <v>415</v>
      </c>
      <c r="D103" s="2" t="s">
        <v>448</v>
      </c>
      <c r="E103" s="2" t="s">
        <v>449</v>
      </c>
      <c r="F103" s="2" t="s">
        <v>450</v>
      </c>
      <c r="G103" s="2" t="s">
        <v>451</v>
      </c>
      <c r="H103" s="7" t="s">
        <v>61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5" t="str">
        <f t="shared" si="0"/>
        <v>Pending</v>
      </c>
      <c r="O103" s="2" t="s">
        <v>414</v>
      </c>
    </row>
    <row r="104" spans="1:15" ht="24" customHeight="1" x14ac:dyDescent="0.25">
      <c r="A104" s="2">
        <v>103</v>
      </c>
      <c r="B104" s="2" t="s">
        <v>361</v>
      </c>
      <c r="C104" s="2" t="s">
        <v>415</v>
      </c>
      <c r="D104" s="2" t="s">
        <v>452</v>
      </c>
      <c r="E104" s="2" t="s">
        <v>453</v>
      </c>
      <c r="F104" s="2" t="s">
        <v>454</v>
      </c>
      <c r="G104" s="2" t="s">
        <v>455</v>
      </c>
      <c r="H104" s="7" t="s">
        <v>61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5" t="str">
        <f t="shared" si="0"/>
        <v>Pending</v>
      </c>
      <c r="O104" s="2" t="s">
        <v>414</v>
      </c>
    </row>
    <row r="105" spans="1:15" ht="24" customHeight="1" x14ac:dyDescent="0.25">
      <c r="A105" s="2">
        <v>104</v>
      </c>
      <c r="B105" s="2" t="s">
        <v>361</v>
      </c>
      <c r="C105" s="2" t="s">
        <v>456</v>
      </c>
      <c r="D105" s="2" t="s">
        <v>457</v>
      </c>
      <c r="E105" s="2" t="s">
        <v>458</v>
      </c>
      <c r="F105" s="2" t="s">
        <v>459</v>
      </c>
      <c r="G105" s="2" t="s">
        <v>460</v>
      </c>
      <c r="H105" s="6" t="s">
        <v>42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5" t="str">
        <f t="shared" si="0"/>
        <v>Pending</v>
      </c>
      <c r="O105" s="2" t="s">
        <v>24</v>
      </c>
    </row>
    <row r="106" spans="1:15" ht="24" customHeight="1" x14ac:dyDescent="0.25">
      <c r="A106" s="2">
        <v>105</v>
      </c>
      <c r="B106" s="2" t="s">
        <v>361</v>
      </c>
      <c r="C106" s="2" t="s">
        <v>456</v>
      </c>
      <c r="D106" s="2" t="s">
        <v>461</v>
      </c>
      <c r="E106" s="2" t="s">
        <v>462</v>
      </c>
      <c r="F106" s="2" t="s">
        <v>463</v>
      </c>
      <c r="G106" s="2" t="s">
        <v>464</v>
      </c>
      <c r="H106" s="6" t="s">
        <v>42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5" t="str">
        <f t="shared" si="0"/>
        <v>Pending</v>
      </c>
      <c r="O106" s="2" t="s">
        <v>24</v>
      </c>
    </row>
    <row r="107" spans="1:15" ht="24" customHeight="1" x14ac:dyDescent="0.25">
      <c r="A107" s="2">
        <v>106</v>
      </c>
      <c r="B107" s="2" t="s">
        <v>361</v>
      </c>
      <c r="C107" s="2" t="s">
        <v>456</v>
      </c>
      <c r="D107" s="2" t="s">
        <v>465</v>
      </c>
      <c r="E107" s="2" t="s">
        <v>466</v>
      </c>
      <c r="F107" s="2" t="s">
        <v>467</v>
      </c>
      <c r="G107" s="2" t="s">
        <v>468</v>
      </c>
      <c r="H107" s="7" t="s">
        <v>61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5" t="str">
        <f t="shared" si="0"/>
        <v>Pending</v>
      </c>
      <c r="O107" s="2" t="s">
        <v>24</v>
      </c>
    </row>
    <row r="108" spans="1:15" ht="24" customHeight="1" x14ac:dyDescent="0.25">
      <c r="A108" s="2">
        <v>107</v>
      </c>
      <c r="B108" s="2" t="s">
        <v>469</v>
      </c>
      <c r="C108" s="2" t="s">
        <v>470</v>
      </c>
      <c r="D108" s="2" t="s">
        <v>471</v>
      </c>
      <c r="E108" s="2" t="s">
        <v>472</v>
      </c>
      <c r="F108" s="2" t="s">
        <v>473</v>
      </c>
      <c r="G108" s="2" t="s">
        <v>474</v>
      </c>
      <c r="H108" s="3" t="s">
        <v>21</v>
      </c>
      <c r="I108" s="4" t="s">
        <v>22</v>
      </c>
      <c r="J108" s="4" t="s">
        <v>23</v>
      </c>
      <c r="K108" s="4" t="s">
        <v>23</v>
      </c>
      <c r="L108" s="4" t="s">
        <v>23</v>
      </c>
      <c r="M108" s="4" t="s">
        <v>23</v>
      </c>
      <c r="N108" s="5" t="str">
        <f t="shared" si="0"/>
        <v>In Progress</v>
      </c>
      <c r="O108" s="2"/>
    </row>
    <row r="109" spans="1:15" ht="24" customHeight="1" x14ac:dyDescent="0.25">
      <c r="A109" s="2">
        <v>108</v>
      </c>
      <c r="B109" s="2" t="s">
        <v>469</v>
      </c>
      <c r="C109" s="2" t="s">
        <v>470</v>
      </c>
      <c r="D109" s="2" t="s">
        <v>475</v>
      </c>
      <c r="E109" s="2" t="s">
        <v>123</v>
      </c>
      <c r="F109" s="2" t="s">
        <v>124</v>
      </c>
      <c r="G109" s="2" t="s">
        <v>125</v>
      </c>
      <c r="H109" s="3" t="s">
        <v>21</v>
      </c>
      <c r="I109" s="4" t="s">
        <v>22</v>
      </c>
      <c r="J109" s="4" t="s">
        <v>23</v>
      </c>
      <c r="K109" s="4" t="s">
        <v>23</v>
      </c>
      <c r="L109" s="4" t="s">
        <v>23</v>
      </c>
      <c r="M109" s="4" t="s">
        <v>23</v>
      </c>
      <c r="N109" s="5" t="str">
        <f t="shared" si="0"/>
        <v>In Progress</v>
      </c>
      <c r="O109" s="2" t="s">
        <v>24</v>
      </c>
    </row>
    <row r="110" spans="1:15" ht="24" customHeight="1" x14ac:dyDescent="0.25">
      <c r="A110" s="2">
        <v>109</v>
      </c>
      <c r="B110" s="2" t="s">
        <v>469</v>
      </c>
      <c r="C110" s="2" t="s">
        <v>470</v>
      </c>
      <c r="D110" s="2" t="s">
        <v>476</v>
      </c>
      <c r="E110" s="2" t="s">
        <v>477</v>
      </c>
      <c r="F110" s="2" t="s">
        <v>478</v>
      </c>
      <c r="G110" s="2" t="s">
        <v>479</v>
      </c>
      <c r="H110" s="6" t="s">
        <v>42</v>
      </c>
      <c r="I110" s="4" t="s">
        <v>22</v>
      </c>
      <c r="J110" s="4" t="s">
        <v>23</v>
      </c>
      <c r="K110" s="4" t="s">
        <v>23</v>
      </c>
      <c r="L110" s="4" t="s">
        <v>23</v>
      </c>
      <c r="M110" s="4" t="s">
        <v>23</v>
      </c>
      <c r="N110" s="5" t="str">
        <f t="shared" si="0"/>
        <v>In Progress</v>
      </c>
      <c r="O110" s="2"/>
    </row>
    <row r="111" spans="1:15" ht="24" customHeight="1" x14ac:dyDescent="0.25">
      <c r="A111" s="2">
        <v>110</v>
      </c>
      <c r="B111" s="2" t="s">
        <v>469</v>
      </c>
      <c r="C111" s="2" t="s">
        <v>470</v>
      </c>
      <c r="D111" s="2" t="s">
        <v>480</v>
      </c>
      <c r="E111" s="2" t="s">
        <v>481</v>
      </c>
      <c r="F111" s="2" t="s">
        <v>482</v>
      </c>
      <c r="G111" s="2" t="s">
        <v>483</v>
      </c>
      <c r="H111" s="6" t="s">
        <v>42</v>
      </c>
      <c r="I111" s="4" t="s">
        <v>22</v>
      </c>
      <c r="J111" s="4" t="s">
        <v>23</v>
      </c>
      <c r="K111" s="4" t="s">
        <v>23</v>
      </c>
      <c r="L111" s="4" t="s">
        <v>23</v>
      </c>
      <c r="M111" s="4" t="s">
        <v>23</v>
      </c>
      <c r="N111" s="5" t="str">
        <f t="shared" si="0"/>
        <v>In Progress</v>
      </c>
      <c r="O111" s="2" t="s">
        <v>24</v>
      </c>
    </row>
    <row r="112" spans="1:15" ht="24" customHeight="1" x14ac:dyDescent="0.25">
      <c r="A112" s="2">
        <v>111</v>
      </c>
      <c r="B112" s="2" t="s">
        <v>469</v>
      </c>
      <c r="C112" s="2" t="s">
        <v>470</v>
      </c>
      <c r="D112" s="2" t="s">
        <v>484</v>
      </c>
      <c r="E112" s="2" t="s">
        <v>485</v>
      </c>
      <c r="F112" s="2" t="s">
        <v>486</v>
      </c>
      <c r="G112" s="2" t="s">
        <v>487</v>
      </c>
      <c r="H112" s="3" t="s">
        <v>21</v>
      </c>
      <c r="I112" s="4" t="s">
        <v>22</v>
      </c>
      <c r="J112" s="4" t="s">
        <v>23</v>
      </c>
      <c r="K112" s="4" t="s">
        <v>23</v>
      </c>
      <c r="L112" s="4" t="s">
        <v>23</v>
      </c>
      <c r="M112" s="4" t="s">
        <v>23</v>
      </c>
      <c r="N112" s="5" t="str">
        <f t="shared" si="0"/>
        <v>In Progress</v>
      </c>
      <c r="O112" s="2" t="s">
        <v>24</v>
      </c>
    </row>
    <row r="113" spans="1:15" ht="24" customHeight="1" x14ac:dyDescent="0.25">
      <c r="A113" s="2">
        <v>112</v>
      </c>
      <c r="B113" s="2" t="s">
        <v>469</v>
      </c>
      <c r="C113" s="2" t="s">
        <v>470</v>
      </c>
      <c r="D113" s="2" t="s">
        <v>488</v>
      </c>
      <c r="E113" s="2" t="s">
        <v>489</v>
      </c>
      <c r="F113" s="2" t="s">
        <v>490</v>
      </c>
      <c r="G113" s="2" t="s">
        <v>491</v>
      </c>
      <c r="H113" s="6" t="s">
        <v>42</v>
      </c>
      <c r="I113" s="4" t="s">
        <v>22</v>
      </c>
      <c r="J113" s="4" t="s">
        <v>23</v>
      </c>
      <c r="K113" s="4" t="s">
        <v>23</v>
      </c>
      <c r="L113" s="4" t="s">
        <v>23</v>
      </c>
      <c r="M113" s="4" t="s">
        <v>23</v>
      </c>
      <c r="N113" s="5" t="str">
        <f t="shared" si="0"/>
        <v>In Progress</v>
      </c>
      <c r="O113" s="2" t="s">
        <v>24</v>
      </c>
    </row>
    <row r="114" spans="1:15" ht="24" customHeight="1" x14ac:dyDescent="0.25">
      <c r="A114" s="2">
        <v>113</v>
      </c>
      <c r="B114" s="2" t="s">
        <v>469</v>
      </c>
      <c r="C114" s="2" t="s">
        <v>470</v>
      </c>
      <c r="D114" s="2" t="s">
        <v>492</v>
      </c>
      <c r="E114" s="2" t="s">
        <v>493</v>
      </c>
      <c r="F114" s="2" t="s">
        <v>494</v>
      </c>
      <c r="G114" s="2" t="s">
        <v>495</v>
      </c>
      <c r="H114" s="6" t="s">
        <v>42</v>
      </c>
      <c r="I114" s="4" t="s">
        <v>22</v>
      </c>
      <c r="J114" s="4" t="s">
        <v>23</v>
      </c>
      <c r="K114" s="4" t="s">
        <v>23</v>
      </c>
      <c r="L114" s="4" t="s">
        <v>23</v>
      </c>
      <c r="M114" s="4" t="s">
        <v>23</v>
      </c>
      <c r="N114" s="5" t="str">
        <f t="shared" si="0"/>
        <v>In Progress</v>
      </c>
      <c r="O114" s="2"/>
    </row>
    <row r="115" spans="1:15" ht="24" customHeight="1" x14ac:dyDescent="0.25">
      <c r="A115" s="2">
        <v>114</v>
      </c>
      <c r="B115" s="2" t="s">
        <v>469</v>
      </c>
      <c r="C115" s="2" t="s">
        <v>470</v>
      </c>
      <c r="D115" s="2" t="s">
        <v>496</v>
      </c>
      <c r="E115" s="2" t="s">
        <v>497</v>
      </c>
      <c r="F115" s="2" t="s">
        <v>498</v>
      </c>
      <c r="G115" s="2" t="s">
        <v>499</v>
      </c>
      <c r="H115" s="3" t="s">
        <v>21</v>
      </c>
      <c r="I115" s="4" t="s">
        <v>22</v>
      </c>
      <c r="J115" s="4" t="s">
        <v>23</v>
      </c>
      <c r="K115" s="4" t="s">
        <v>23</v>
      </c>
      <c r="L115" s="4" t="s">
        <v>23</v>
      </c>
      <c r="M115" s="4" t="s">
        <v>23</v>
      </c>
      <c r="N115" s="5" t="str">
        <f t="shared" si="0"/>
        <v>In Progress</v>
      </c>
      <c r="O115" s="2"/>
    </row>
    <row r="116" spans="1:15" ht="24" customHeight="1" x14ac:dyDescent="0.25">
      <c r="A116" s="2">
        <v>115</v>
      </c>
      <c r="B116" s="2" t="s">
        <v>469</v>
      </c>
      <c r="C116" s="2" t="s">
        <v>470</v>
      </c>
      <c r="D116" s="2" t="s">
        <v>500</v>
      </c>
      <c r="E116" s="2" t="s">
        <v>501</v>
      </c>
      <c r="F116" s="2" t="s">
        <v>502</v>
      </c>
      <c r="G116" s="2" t="s">
        <v>503</v>
      </c>
      <c r="H116" s="6" t="s">
        <v>42</v>
      </c>
      <c r="I116" s="4" t="s">
        <v>22</v>
      </c>
      <c r="J116" s="4" t="s">
        <v>23</v>
      </c>
      <c r="K116" s="4" t="s">
        <v>23</v>
      </c>
      <c r="L116" s="4" t="s">
        <v>23</v>
      </c>
      <c r="M116" s="4" t="s">
        <v>23</v>
      </c>
      <c r="N116" s="5" t="str">
        <f t="shared" si="0"/>
        <v>In Progress</v>
      </c>
      <c r="O116" s="2" t="s">
        <v>24</v>
      </c>
    </row>
    <row r="117" spans="1:15" ht="24" customHeight="1" x14ac:dyDescent="0.25">
      <c r="A117" s="2">
        <v>116</v>
      </c>
      <c r="B117" s="2" t="s">
        <v>469</v>
      </c>
      <c r="C117" s="2" t="s">
        <v>470</v>
      </c>
      <c r="D117" s="2" t="s">
        <v>504</v>
      </c>
      <c r="E117" s="2" t="s">
        <v>505</v>
      </c>
      <c r="F117" s="2" t="s">
        <v>506</v>
      </c>
      <c r="G117" s="2" t="s">
        <v>507</v>
      </c>
      <c r="H117" s="7" t="s">
        <v>61</v>
      </c>
      <c r="I117" s="4" t="s">
        <v>22</v>
      </c>
      <c r="J117" s="4" t="s">
        <v>23</v>
      </c>
      <c r="K117" s="4" t="s">
        <v>23</v>
      </c>
      <c r="L117" s="4" t="s">
        <v>23</v>
      </c>
      <c r="M117" s="4" t="s">
        <v>23</v>
      </c>
      <c r="N117" s="5" t="str">
        <f t="shared" si="0"/>
        <v>In Progress</v>
      </c>
      <c r="O117" s="2" t="s">
        <v>24</v>
      </c>
    </row>
    <row r="118" spans="1:15" ht="24" customHeight="1" x14ac:dyDescent="0.25">
      <c r="A118" s="2">
        <v>117</v>
      </c>
      <c r="B118" s="2" t="s">
        <v>469</v>
      </c>
      <c r="C118" s="2" t="s">
        <v>470</v>
      </c>
      <c r="D118" s="2" t="s">
        <v>508</v>
      </c>
      <c r="E118" s="2" t="s">
        <v>156</v>
      </c>
      <c r="F118" s="2" t="s">
        <v>509</v>
      </c>
      <c r="G118" s="2" t="s">
        <v>510</v>
      </c>
      <c r="H118" s="7" t="s">
        <v>61</v>
      </c>
      <c r="I118" s="4" t="s">
        <v>22</v>
      </c>
      <c r="J118" s="4" t="s">
        <v>23</v>
      </c>
      <c r="K118" s="4" t="s">
        <v>23</v>
      </c>
      <c r="L118" s="4" t="s">
        <v>23</v>
      </c>
      <c r="M118" s="4" t="s">
        <v>23</v>
      </c>
      <c r="N118" s="5" t="str">
        <f t="shared" si="0"/>
        <v>In Progress</v>
      </c>
      <c r="O118" s="2"/>
    </row>
    <row r="119" spans="1:15" ht="24" customHeight="1" x14ac:dyDescent="0.25">
      <c r="A119" s="2">
        <v>118</v>
      </c>
      <c r="B119" s="2" t="s">
        <v>469</v>
      </c>
      <c r="C119" s="2" t="s">
        <v>470</v>
      </c>
      <c r="D119" s="2" t="s">
        <v>511</v>
      </c>
      <c r="E119" s="2" t="s">
        <v>512</v>
      </c>
      <c r="F119" s="2" t="s">
        <v>513</v>
      </c>
      <c r="G119" s="2" t="s">
        <v>514</v>
      </c>
      <c r="H119" s="2" t="s">
        <v>220</v>
      </c>
      <c r="I119" s="4" t="s">
        <v>22</v>
      </c>
      <c r="J119" s="4" t="s">
        <v>23</v>
      </c>
      <c r="K119" s="4" t="s">
        <v>23</v>
      </c>
      <c r="L119" s="4" t="s">
        <v>23</v>
      </c>
      <c r="M119" s="4" t="s">
        <v>23</v>
      </c>
      <c r="N119" s="5" t="str">
        <f t="shared" si="0"/>
        <v>In Progress</v>
      </c>
      <c r="O119" s="2" t="s">
        <v>24</v>
      </c>
    </row>
    <row r="120" spans="1:15" ht="24" customHeight="1" x14ac:dyDescent="0.25">
      <c r="A120" s="2">
        <v>119</v>
      </c>
      <c r="B120" s="2" t="s">
        <v>469</v>
      </c>
      <c r="C120" s="2" t="s">
        <v>470</v>
      </c>
      <c r="D120" s="2" t="s">
        <v>515</v>
      </c>
      <c r="E120" s="2" t="s">
        <v>516</v>
      </c>
      <c r="F120" s="2" t="s">
        <v>517</v>
      </c>
      <c r="G120" s="2" t="s">
        <v>518</v>
      </c>
      <c r="H120" s="7" t="s">
        <v>61</v>
      </c>
      <c r="I120" s="4" t="s">
        <v>22</v>
      </c>
      <c r="J120" s="4" t="s">
        <v>23</v>
      </c>
      <c r="K120" s="4" t="s">
        <v>23</v>
      </c>
      <c r="L120" s="4" t="s">
        <v>23</v>
      </c>
      <c r="M120" s="4" t="s">
        <v>23</v>
      </c>
      <c r="N120" s="5" t="str">
        <f t="shared" si="0"/>
        <v>In Progress</v>
      </c>
      <c r="O120" s="2" t="s">
        <v>24</v>
      </c>
    </row>
    <row r="121" spans="1:15" ht="24" customHeight="1" x14ac:dyDescent="0.25">
      <c r="A121" s="2">
        <v>120</v>
      </c>
      <c r="B121" s="2" t="s">
        <v>469</v>
      </c>
      <c r="C121" s="2" t="s">
        <v>470</v>
      </c>
      <c r="D121" s="2" t="s">
        <v>519</v>
      </c>
      <c r="E121" s="2" t="s">
        <v>520</v>
      </c>
      <c r="F121" s="2" t="s">
        <v>521</v>
      </c>
      <c r="G121" s="2" t="s">
        <v>522</v>
      </c>
      <c r="H121" s="6" t="s">
        <v>42</v>
      </c>
      <c r="I121" s="4" t="s">
        <v>22</v>
      </c>
      <c r="J121" s="4" t="s">
        <v>23</v>
      </c>
      <c r="K121" s="4" t="s">
        <v>23</v>
      </c>
      <c r="L121" s="4" t="s">
        <v>23</v>
      </c>
      <c r="M121" s="4" t="s">
        <v>23</v>
      </c>
      <c r="N121" s="5" t="str">
        <f t="shared" si="0"/>
        <v>In Progress</v>
      </c>
      <c r="O121" s="2"/>
    </row>
    <row r="122" spans="1:15" ht="24" customHeight="1" x14ac:dyDescent="0.25">
      <c r="A122" s="2">
        <v>121</v>
      </c>
      <c r="B122" s="2" t="s">
        <v>469</v>
      </c>
      <c r="C122" s="2" t="s">
        <v>470</v>
      </c>
      <c r="D122" s="2" t="s">
        <v>523</v>
      </c>
      <c r="E122" s="2" t="s">
        <v>524</v>
      </c>
      <c r="F122" s="2" t="s">
        <v>525</v>
      </c>
      <c r="G122" s="2" t="s">
        <v>526</v>
      </c>
      <c r="H122" s="7" t="s">
        <v>61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5" t="str">
        <f t="shared" si="0"/>
        <v>Pending</v>
      </c>
      <c r="O122" s="2"/>
    </row>
    <row r="123" spans="1:15" ht="24" customHeight="1" x14ac:dyDescent="0.25">
      <c r="A123" s="2">
        <v>122</v>
      </c>
      <c r="B123" s="2" t="s">
        <v>469</v>
      </c>
      <c r="C123" s="2" t="s">
        <v>470</v>
      </c>
      <c r="D123" s="2" t="s">
        <v>527</v>
      </c>
      <c r="E123" s="2" t="s">
        <v>528</v>
      </c>
      <c r="F123" s="2" t="s">
        <v>529</v>
      </c>
      <c r="G123" s="2" t="s">
        <v>530</v>
      </c>
      <c r="H123" s="7" t="s">
        <v>61</v>
      </c>
      <c r="I123" s="4" t="s">
        <v>22</v>
      </c>
      <c r="J123" s="4" t="s">
        <v>23</v>
      </c>
      <c r="K123" s="4" t="s">
        <v>23</v>
      </c>
      <c r="L123" s="4" t="s">
        <v>23</v>
      </c>
      <c r="M123" s="4" t="s">
        <v>23</v>
      </c>
      <c r="N123" s="5" t="str">
        <f t="shared" si="0"/>
        <v>In Progress</v>
      </c>
      <c r="O123" s="2" t="s">
        <v>24</v>
      </c>
    </row>
    <row r="124" spans="1:15" ht="24" customHeight="1" x14ac:dyDescent="0.25">
      <c r="A124" s="2">
        <v>123</v>
      </c>
      <c r="B124" s="2" t="s">
        <v>469</v>
      </c>
      <c r="C124" s="2" t="s">
        <v>470</v>
      </c>
      <c r="D124" s="2" t="s">
        <v>531</v>
      </c>
      <c r="E124" s="2" t="s">
        <v>532</v>
      </c>
      <c r="F124" s="2" t="s">
        <v>533</v>
      </c>
      <c r="G124" s="2" t="s">
        <v>534</v>
      </c>
      <c r="H124" s="7" t="s">
        <v>61</v>
      </c>
      <c r="I124" s="4" t="s">
        <v>22</v>
      </c>
      <c r="J124" s="4" t="s">
        <v>23</v>
      </c>
      <c r="K124" s="4" t="s">
        <v>23</v>
      </c>
      <c r="L124" s="4" t="s">
        <v>23</v>
      </c>
      <c r="M124" s="4" t="s">
        <v>23</v>
      </c>
      <c r="N124" s="5" t="str">
        <f t="shared" si="0"/>
        <v>In Progress</v>
      </c>
      <c r="O124" s="2" t="s">
        <v>24</v>
      </c>
    </row>
    <row r="125" spans="1:15" ht="24" customHeight="1" x14ac:dyDescent="0.25">
      <c r="A125" s="2">
        <v>124</v>
      </c>
      <c r="B125" s="2" t="s">
        <v>469</v>
      </c>
      <c r="C125" s="2" t="s">
        <v>470</v>
      </c>
      <c r="D125" s="2" t="s">
        <v>535</v>
      </c>
      <c r="E125" s="2" t="s">
        <v>536</v>
      </c>
      <c r="F125" s="2" t="s">
        <v>537</v>
      </c>
      <c r="G125" s="2" t="s">
        <v>538</v>
      </c>
      <c r="H125" s="6" t="s">
        <v>42</v>
      </c>
      <c r="I125" s="4" t="s">
        <v>22</v>
      </c>
      <c r="J125" s="4" t="s">
        <v>23</v>
      </c>
      <c r="K125" s="4" t="s">
        <v>23</v>
      </c>
      <c r="L125" s="4" t="s">
        <v>23</v>
      </c>
      <c r="M125" s="4" t="s">
        <v>23</v>
      </c>
      <c r="N125" s="5" t="str">
        <f t="shared" si="0"/>
        <v>In Progress</v>
      </c>
      <c r="O125" s="2" t="s">
        <v>539</v>
      </c>
    </row>
    <row r="126" spans="1:15" ht="24" customHeight="1" x14ac:dyDescent="0.25">
      <c r="A126" s="2">
        <v>125</v>
      </c>
      <c r="B126" s="2" t="s">
        <v>469</v>
      </c>
      <c r="C126" s="2" t="s">
        <v>540</v>
      </c>
      <c r="D126" s="2" t="s">
        <v>541</v>
      </c>
      <c r="E126" s="2" t="s">
        <v>542</v>
      </c>
      <c r="F126" s="2" t="s">
        <v>543</v>
      </c>
      <c r="G126" s="2" t="s">
        <v>544</v>
      </c>
      <c r="H126" s="3" t="s">
        <v>21</v>
      </c>
      <c r="I126" s="4" t="s">
        <v>22</v>
      </c>
      <c r="J126" s="4" t="s">
        <v>23</v>
      </c>
      <c r="K126" s="4" t="s">
        <v>23</v>
      </c>
      <c r="L126" s="4" t="s">
        <v>23</v>
      </c>
      <c r="M126" s="4" t="s">
        <v>23</v>
      </c>
      <c r="N126" s="5" t="str">
        <f t="shared" si="0"/>
        <v>In Progress</v>
      </c>
      <c r="O126" s="2" t="s">
        <v>545</v>
      </c>
    </row>
    <row r="127" spans="1:15" ht="24" customHeight="1" x14ac:dyDescent="0.25">
      <c r="A127" s="2">
        <v>126</v>
      </c>
      <c r="B127" s="2" t="s">
        <v>469</v>
      </c>
      <c r="C127" s="2" t="s">
        <v>540</v>
      </c>
      <c r="D127" s="2" t="s">
        <v>546</v>
      </c>
      <c r="E127" s="2" t="s">
        <v>547</v>
      </c>
      <c r="F127" s="2" t="s">
        <v>548</v>
      </c>
      <c r="G127" s="2" t="s">
        <v>549</v>
      </c>
      <c r="H127" s="6" t="s">
        <v>42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5" t="str">
        <f t="shared" si="0"/>
        <v>Pending</v>
      </c>
      <c r="O127" s="2" t="s">
        <v>545</v>
      </c>
    </row>
    <row r="128" spans="1:15" ht="24" customHeight="1" x14ac:dyDescent="0.25">
      <c r="A128" s="2">
        <v>127</v>
      </c>
      <c r="B128" s="2" t="s">
        <v>469</v>
      </c>
      <c r="C128" s="2" t="s">
        <v>540</v>
      </c>
      <c r="D128" s="2" t="s">
        <v>550</v>
      </c>
      <c r="E128" s="2" t="s">
        <v>551</v>
      </c>
      <c r="F128" s="2" t="s">
        <v>552</v>
      </c>
      <c r="G128" s="2" t="s">
        <v>553</v>
      </c>
      <c r="H128" s="6" t="s">
        <v>42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5" t="str">
        <f t="shared" si="0"/>
        <v>Pending</v>
      </c>
      <c r="O128" s="2" t="s">
        <v>545</v>
      </c>
    </row>
    <row r="129" spans="1:15" ht="24" customHeight="1" x14ac:dyDescent="0.25">
      <c r="A129" s="2">
        <v>128</v>
      </c>
      <c r="B129" s="2" t="s">
        <v>469</v>
      </c>
      <c r="C129" s="2" t="s">
        <v>540</v>
      </c>
      <c r="D129" s="2" t="s">
        <v>554</v>
      </c>
      <c r="E129" s="2" t="s">
        <v>555</v>
      </c>
      <c r="F129" s="2" t="s">
        <v>556</v>
      </c>
      <c r="G129" s="2" t="s">
        <v>557</v>
      </c>
      <c r="H129" s="6" t="s">
        <v>42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5" t="str">
        <f t="shared" si="0"/>
        <v>Pending</v>
      </c>
      <c r="O129" s="2" t="s">
        <v>545</v>
      </c>
    </row>
    <row r="130" spans="1:15" ht="24" customHeight="1" x14ac:dyDescent="0.25">
      <c r="A130" s="2">
        <v>129</v>
      </c>
      <c r="B130" s="2" t="s">
        <v>469</v>
      </c>
      <c r="C130" s="2" t="s">
        <v>540</v>
      </c>
      <c r="D130" s="2" t="s">
        <v>558</v>
      </c>
      <c r="E130" s="2" t="s">
        <v>559</v>
      </c>
      <c r="F130" s="2" t="s">
        <v>560</v>
      </c>
      <c r="G130" s="2" t="s">
        <v>561</v>
      </c>
      <c r="H130" s="7" t="s">
        <v>61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5" t="str">
        <f t="shared" si="0"/>
        <v>Pending</v>
      </c>
      <c r="O130" s="2" t="s">
        <v>545</v>
      </c>
    </row>
    <row r="131" spans="1:15" ht="24" customHeight="1" x14ac:dyDescent="0.25">
      <c r="A131" s="2">
        <v>130</v>
      </c>
      <c r="B131" s="2" t="s">
        <v>469</v>
      </c>
      <c r="C131" s="2" t="s">
        <v>540</v>
      </c>
      <c r="D131" s="2" t="s">
        <v>562</v>
      </c>
      <c r="E131" s="2" t="s">
        <v>563</v>
      </c>
      <c r="F131" s="2" t="s">
        <v>564</v>
      </c>
      <c r="G131" s="2" t="s">
        <v>565</v>
      </c>
      <c r="H131" s="7" t="s">
        <v>61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5" t="str">
        <f t="shared" si="0"/>
        <v>Pending</v>
      </c>
      <c r="O131" s="2" t="s">
        <v>545</v>
      </c>
    </row>
    <row r="132" spans="1:15" ht="24" customHeight="1" x14ac:dyDescent="0.25">
      <c r="A132" s="2">
        <v>131</v>
      </c>
      <c r="B132" s="2" t="s">
        <v>469</v>
      </c>
      <c r="C132" s="2" t="s">
        <v>540</v>
      </c>
      <c r="D132" s="2" t="s">
        <v>566</v>
      </c>
      <c r="E132" s="2" t="s">
        <v>567</v>
      </c>
      <c r="F132" s="2" t="s">
        <v>568</v>
      </c>
      <c r="G132" s="2" t="s">
        <v>569</v>
      </c>
      <c r="H132" s="6" t="s">
        <v>42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5" t="str">
        <f t="shared" si="0"/>
        <v>Pending</v>
      </c>
      <c r="O132" s="2" t="s">
        <v>545</v>
      </c>
    </row>
    <row r="133" spans="1:15" ht="24" customHeight="1" x14ac:dyDescent="0.25">
      <c r="A133" s="2">
        <v>132</v>
      </c>
      <c r="B133" s="2" t="s">
        <v>469</v>
      </c>
      <c r="C133" s="2" t="s">
        <v>570</v>
      </c>
      <c r="D133" s="2" t="s">
        <v>571</v>
      </c>
      <c r="E133" s="2" t="s">
        <v>572</v>
      </c>
      <c r="F133" s="2" t="s">
        <v>573</v>
      </c>
      <c r="G133" s="2" t="s">
        <v>574</v>
      </c>
      <c r="H133" s="6" t="s">
        <v>42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5" t="str">
        <f t="shared" si="0"/>
        <v>Pending</v>
      </c>
      <c r="O133" s="2" t="s">
        <v>91</v>
      </c>
    </row>
    <row r="134" spans="1:15" ht="24" customHeight="1" x14ac:dyDescent="0.25">
      <c r="A134" s="2">
        <v>133</v>
      </c>
      <c r="B134" s="2" t="s">
        <v>469</v>
      </c>
      <c r="C134" s="2" t="s">
        <v>570</v>
      </c>
      <c r="D134" s="2" t="s">
        <v>575</v>
      </c>
      <c r="E134" s="2" t="s">
        <v>576</v>
      </c>
      <c r="F134" s="2" t="s">
        <v>577</v>
      </c>
      <c r="G134" s="2" t="s">
        <v>578</v>
      </c>
      <c r="H134" s="6" t="s">
        <v>42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5" t="str">
        <f t="shared" si="0"/>
        <v>Pending</v>
      </c>
      <c r="O134" s="2" t="s">
        <v>91</v>
      </c>
    </row>
    <row r="135" spans="1:15" ht="24" customHeight="1" x14ac:dyDescent="0.25">
      <c r="A135" s="2">
        <v>134</v>
      </c>
      <c r="B135" s="2" t="s">
        <v>469</v>
      </c>
      <c r="C135" s="2" t="s">
        <v>570</v>
      </c>
      <c r="D135" s="2" t="s">
        <v>579</v>
      </c>
      <c r="E135" s="2" t="s">
        <v>580</v>
      </c>
      <c r="F135" s="2" t="s">
        <v>581</v>
      </c>
      <c r="G135" s="2" t="s">
        <v>582</v>
      </c>
      <c r="H135" s="7" t="s">
        <v>61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5" t="str">
        <f t="shared" si="0"/>
        <v>Pending</v>
      </c>
      <c r="O135" s="2" t="s">
        <v>91</v>
      </c>
    </row>
    <row r="136" spans="1:15" ht="24" customHeight="1" x14ac:dyDescent="0.25">
      <c r="A136" s="2">
        <v>135</v>
      </c>
      <c r="B136" s="2" t="s">
        <v>469</v>
      </c>
      <c r="C136" s="2" t="s">
        <v>570</v>
      </c>
      <c r="D136" s="2" t="s">
        <v>583</v>
      </c>
      <c r="E136" s="2" t="s">
        <v>584</v>
      </c>
      <c r="F136" s="2" t="s">
        <v>585</v>
      </c>
      <c r="G136" s="2" t="s">
        <v>451</v>
      </c>
      <c r="H136" s="7" t="s">
        <v>61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5" t="str">
        <f t="shared" si="0"/>
        <v>Pending</v>
      </c>
      <c r="O136" s="2" t="s">
        <v>91</v>
      </c>
    </row>
    <row r="137" spans="1:15" ht="24" customHeight="1" x14ac:dyDescent="0.25">
      <c r="A137" s="2">
        <v>136</v>
      </c>
      <c r="B137" s="2" t="s">
        <v>469</v>
      </c>
      <c r="C137" s="2" t="s">
        <v>570</v>
      </c>
      <c r="D137" s="2" t="s">
        <v>586</v>
      </c>
      <c r="E137" s="2" t="s">
        <v>587</v>
      </c>
      <c r="F137" s="2" t="s">
        <v>588</v>
      </c>
      <c r="G137" s="2" t="s">
        <v>589</v>
      </c>
      <c r="H137" s="7" t="s">
        <v>61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5" t="str">
        <f t="shared" si="0"/>
        <v>Pending</v>
      </c>
      <c r="O137" s="2" t="s">
        <v>91</v>
      </c>
    </row>
    <row r="138" spans="1:15" ht="24" customHeight="1" x14ac:dyDescent="0.25">
      <c r="A138" s="2">
        <v>137</v>
      </c>
      <c r="B138" s="2" t="s">
        <v>590</v>
      </c>
      <c r="C138" s="2" t="s">
        <v>24</v>
      </c>
      <c r="D138" s="2" t="s">
        <v>591</v>
      </c>
      <c r="E138" s="2" t="s">
        <v>592</v>
      </c>
      <c r="F138" s="2" t="s">
        <v>593</v>
      </c>
      <c r="G138" s="2" t="s">
        <v>594</v>
      </c>
      <c r="H138" s="3" t="s">
        <v>21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5" t="str">
        <f t="shared" si="0"/>
        <v>Pending</v>
      </c>
      <c r="O138" s="2" t="s">
        <v>539</v>
      </c>
    </row>
    <row r="139" spans="1:15" ht="24" customHeight="1" x14ac:dyDescent="0.25">
      <c r="A139" s="2">
        <v>138</v>
      </c>
      <c r="B139" s="2" t="s">
        <v>590</v>
      </c>
      <c r="C139" s="2" t="s">
        <v>24</v>
      </c>
      <c r="D139" s="2" t="s">
        <v>595</v>
      </c>
      <c r="E139" s="2" t="s">
        <v>596</v>
      </c>
      <c r="F139" s="2" t="s">
        <v>597</v>
      </c>
      <c r="G139" s="2" t="s">
        <v>598</v>
      </c>
      <c r="H139" s="3" t="s">
        <v>21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5" t="str">
        <f t="shared" si="0"/>
        <v>Pending</v>
      </c>
      <c r="O139" s="2" t="s">
        <v>539</v>
      </c>
    </row>
    <row r="140" spans="1:15" ht="24" customHeight="1" x14ac:dyDescent="0.25">
      <c r="A140" s="2">
        <v>139</v>
      </c>
      <c r="B140" s="2" t="s">
        <v>590</v>
      </c>
      <c r="C140" s="2" t="s">
        <v>24</v>
      </c>
      <c r="D140" s="2" t="s">
        <v>599</v>
      </c>
      <c r="E140" s="2" t="s">
        <v>600</v>
      </c>
      <c r="F140" s="2" t="s">
        <v>601</v>
      </c>
      <c r="G140" s="2" t="s">
        <v>598</v>
      </c>
      <c r="H140" s="6" t="s">
        <v>42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5" t="str">
        <f t="shared" si="0"/>
        <v>Pending</v>
      </c>
      <c r="O140" s="2" t="s">
        <v>539</v>
      </c>
    </row>
    <row r="141" spans="1:15" ht="24" customHeight="1" x14ac:dyDescent="0.25">
      <c r="A141" s="2">
        <v>140</v>
      </c>
      <c r="B141" s="2" t="s">
        <v>590</v>
      </c>
      <c r="C141" s="2" t="s">
        <v>24</v>
      </c>
      <c r="D141" s="2" t="s">
        <v>602</v>
      </c>
      <c r="E141" s="2" t="s">
        <v>603</v>
      </c>
      <c r="F141" s="2" t="s">
        <v>604</v>
      </c>
      <c r="G141" s="2" t="s">
        <v>605</v>
      </c>
      <c r="H141" s="6" t="s">
        <v>42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5" t="str">
        <f t="shared" si="0"/>
        <v>Pending</v>
      </c>
      <c r="O141" s="2" t="s">
        <v>539</v>
      </c>
    </row>
    <row r="142" spans="1:15" ht="24" customHeight="1" x14ac:dyDescent="0.25">
      <c r="A142" s="2">
        <v>141</v>
      </c>
      <c r="B142" s="2" t="s">
        <v>590</v>
      </c>
      <c r="C142" s="2" t="s">
        <v>24</v>
      </c>
      <c r="D142" s="2" t="s">
        <v>606</v>
      </c>
      <c r="E142" s="2" t="s">
        <v>607</v>
      </c>
      <c r="F142" s="2" t="s">
        <v>608</v>
      </c>
      <c r="G142" s="2" t="s">
        <v>609</v>
      </c>
      <c r="H142" s="6" t="s">
        <v>42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5" t="str">
        <f t="shared" si="0"/>
        <v>Pending</v>
      </c>
      <c r="O142" s="2" t="s">
        <v>539</v>
      </c>
    </row>
    <row r="143" spans="1:15" ht="24" customHeight="1" x14ac:dyDescent="0.25">
      <c r="A143" s="2">
        <v>142</v>
      </c>
      <c r="B143" s="2" t="s">
        <v>590</v>
      </c>
      <c r="C143" s="2" t="s">
        <v>24</v>
      </c>
      <c r="D143" s="2" t="s">
        <v>610</v>
      </c>
      <c r="E143" s="2" t="s">
        <v>611</v>
      </c>
      <c r="F143" s="2" t="s">
        <v>612</v>
      </c>
      <c r="G143" s="2" t="s">
        <v>613</v>
      </c>
      <c r="H143" s="7" t="s">
        <v>61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5" t="str">
        <f t="shared" si="0"/>
        <v>Pending</v>
      </c>
      <c r="O143" s="2" t="s">
        <v>539</v>
      </c>
    </row>
    <row r="144" spans="1:15" ht="24" customHeight="1" x14ac:dyDescent="0.25">
      <c r="A144" s="2">
        <v>143</v>
      </c>
      <c r="B144" s="2" t="s">
        <v>590</v>
      </c>
      <c r="C144" s="2" t="s">
        <v>24</v>
      </c>
      <c r="D144" s="2" t="s">
        <v>614</v>
      </c>
      <c r="E144" s="2" t="s">
        <v>615</v>
      </c>
      <c r="F144" s="2" t="s">
        <v>616</v>
      </c>
      <c r="G144" s="2" t="s">
        <v>617</v>
      </c>
      <c r="H144" s="7" t="s">
        <v>61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5" t="str">
        <f t="shared" si="0"/>
        <v>Pending</v>
      </c>
      <c r="O144" s="2" t="s">
        <v>539</v>
      </c>
    </row>
    <row r="145" spans="1:15" ht="24" customHeight="1" x14ac:dyDescent="0.25">
      <c r="A145" s="2">
        <v>144</v>
      </c>
      <c r="B145" s="2" t="s">
        <v>590</v>
      </c>
      <c r="C145" s="2" t="s">
        <v>24</v>
      </c>
      <c r="D145" s="2" t="s">
        <v>618</v>
      </c>
      <c r="E145" s="2" t="s">
        <v>619</v>
      </c>
      <c r="F145" s="2" t="s">
        <v>620</v>
      </c>
      <c r="G145" s="2" t="s">
        <v>621</v>
      </c>
      <c r="H145" s="6" t="s">
        <v>42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5" t="str">
        <f t="shared" si="0"/>
        <v>Pending</v>
      </c>
      <c r="O145" s="2" t="s">
        <v>539</v>
      </c>
    </row>
    <row r="146" spans="1:15" ht="24" customHeight="1" x14ac:dyDescent="0.25">
      <c r="A146" s="2">
        <v>145</v>
      </c>
      <c r="B146" s="2" t="s">
        <v>590</v>
      </c>
      <c r="C146" s="2" t="s">
        <v>24</v>
      </c>
      <c r="D146" s="2" t="s">
        <v>622</v>
      </c>
      <c r="E146" s="2" t="s">
        <v>623</v>
      </c>
      <c r="F146" s="2" t="s">
        <v>624</v>
      </c>
      <c r="G146" s="2" t="s">
        <v>625</v>
      </c>
      <c r="H146" s="7" t="s">
        <v>61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5" t="str">
        <f t="shared" si="0"/>
        <v>Pending</v>
      </c>
      <c r="O146" s="2" t="s">
        <v>539</v>
      </c>
    </row>
    <row r="147" spans="1:15" ht="24" customHeight="1" x14ac:dyDescent="0.25">
      <c r="A147" s="2">
        <v>146</v>
      </c>
      <c r="B147" s="2" t="s">
        <v>590</v>
      </c>
      <c r="C147" s="2" t="s">
        <v>24</v>
      </c>
      <c r="D147" s="2" t="s">
        <v>626</v>
      </c>
      <c r="E147" s="2" t="s">
        <v>627</v>
      </c>
      <c r="F147" s="2" t="s">
        <v>628</v>
      </c>
      <c r="G147" s="2" t="s">
        <v>629</v>
      </c>
      <c r="H147" s="3" t="s">
        <v>21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5" t="str">
        <f t="shared" si="0"/>
        <v>Pending</v>
      </c>
      <c r="O147" s="2" t="s">
        <v>539</v>
      </c>
    </row>
    <row r="148" spans="1:15" ht="24" customHeight="1" x14ac:dyDescent="0.25">
      <c r="A148" s="2">
        <v>147</v>
      </c>
      <c r="B148" s="2" t="s">
        <v>590</v>
      </c>
      <c r="C148" s="2" t="s">
        <v>24</v>
      </c>
      <c r="D148" s="2" t="s">
        <v>630</v>
      </c>
      <c r="E148" s="2" t="s">
        <v>631</v>
      </c>
      <c r="F148" s="2" t="s">
        <v>632</v>
      </c>
      <c r="G148" s="2" t="s">
        <v>633</v>
      </c>
      <c r="H148" s="7" t="s">
        <v>61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5" t="str">
        <f t="shared" si="0"/>
        <v>Pending</v>
      </c>
      <c r="O148" s="2" t="s">
        <v>539</v>
      </c>
    </row>
    <row r="149" spans="1:15" ht="24" customHeight="1" x14ac:dyDescent="0.25">
      <c r="A149" s="2">
        <v>148</v>
      </c>
      <c r="B149" s="2" t="s">
        <v>590</v>
      </c>
      <c r="C149" s="2" t="s">
        <v>24</v>
      </c>
      <c r="D149" s="2" t="s">
        <v>634</v>
      </c>
      <c r="E149" s="2" t="s">
        <v>635</v>
      </c>
      <c r="F149" s="2" t="s">
        <v>636</v>
      </c>
      <c r="G149" s="2" t="s">
        <v>637</v>
      </c>
      <c r="H149" s="6" t="s">
        <v>42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5" t="str">
        <f t="shared" si="0"/>
        <v>Pending</v>
      </c>
      <c r="O149" s="2" t="s">
        <v>539</v>
      </c>
    </row>
    <row r="150" spans="1:15" ht="24" customHeight="1" x14ac:dyDescent="0.25">
      <c r="A150" s="2">
        <v>149</v>
      </c>
      <c r="B150" s="2" t="s">
        <v>590</v>
      </c>
      <c r="C150" s="2" t="s">
        <v>24</v>
      </c>
      <c r="D150" s="2" t="s">
        <v>638</v>
      </c>
      <c r="E150" s="2" t="s">
        <v>639</v>
      </c>
      <c r="F150" s="2" t="s">
        <v>640</v>
      </c>
      <c r="G150" s="2" t="s">
        <v>641</v>
      </c>
      <c r="H150" s="7" t="s">
        <v>61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5" t="str">
        <f t="shared" si="0"/>
        <v>Pending</v>
      </c>
      <c r="O150" s="2" t="s">
        <v>539</v>
      </c>
    </row>
    <row r="151" spans="1:15" ht="24" customHeight="1" x14ac:dyDescent="0.25">
      <c r="A151" s="2">
        <v>150</v>
      </c>
      <c r="B151" s="2" t="s">
        <v>590</v>
      </c>
      <c r="C151" s="2" t="s">
        <v>24</v>
      </c>
      <c r="D151" s="2" t="s">
        <v>642</v>
      </c>
      <c r="E151" s="2" t="s">
        <v>643</v>
      </c>
      <c r="F151" s="2" t="s">
        <v>644</v>
      </c>
      <c r="G151" s="2" t="s">
        <v>645</v>
      </c>
      <c r="H151" s="2" t="s">
        <v>220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5" t="str">
        <f t="shared" si="0"/>
        <v>Pending</v>
      </c>
      <c r="O151" s="2" t="s">
        <v>539</v>
      </c>
    </row>
    <row r="152" spans="1:15" ht="24" customHeight="1" x14ac:dyDescent="0.25">
      <c r="A152" s="2">
        <v>151</v>
      </c>
      <c r="B152" s="2" t="s">
        <v>646</v>
      </c>
      <c r="C152" s="2" t="s">
        <v>647</v>
      </c>
      <c r="D152" s="2" t="s">
        <v>648</v>
      </c>
      <c r="E152" s="2" t="s">
        <v>649</v>
      </c>
      <c r="F152" s="2" t="s">
        <v>650</v>
      </c>
      <c r="G152" s="2" t="s">
        <v>651</v>
      </c>
      <c r="H152" s="3" t="s">
        <v>21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5" t="str">
        <f t="shared" si="0"/>
        <v>Pending</v>
      </c>
      <c r="O152" s="2" t="s">
        <v>287</v>
      </c>
    </row>
    <row r="153" spans="1:15" ht="24" customHeight="1" x14ac:dyDescent="0.25">
      <c r="A153" s="2">
        <v>152</v>
      </c>
      <c r="B153" s="2" t="s">
        <v>646</v>
      </c>
      <c r="C153" s="2" t="s">
        <v>647</v>
      </c>
      <c r="D153" s="2" t="s">
        <v>652</v>
      </c>
      <c r="E153" s="2" t="s">
        <v>653</v>
      </c>
      <c r="F153" s="2" t="s">
        <v>654</v>
      </c>
      <c r="G153" s="2" t="s">
        <v>655</v>
      </c>
      <c r="H153" s="6" t="s">
        <v>42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5" t="str">
        <f t="shared" si="0"/>
        <v>Pending</v>
      </c>
      <c r="O153" s="2" t="s">
        <v>287</v>
      </c>
    </row>
    <row r="154" spans="1:15" ht="24" customHeight="1" x14ac:dyDescent="0.25">
      <c r="A154" s="2">
        <v>153</v>
      </c>
      <c r="B154" s="2" t="s">
        <v>646</v>
      </c>
      <c r="C154" s="2" t="s">
        <v>647</v>
      </c>
      <c r="D154" s="2" t="s">
        <v>656</v>
      </c>
      <c r="E154" s="2" t="s">
        <v>657</v>
      </c>
      <c r="F154" s="2" t="s">
        <v>658</v>
      </c>
      <c r="G154" s="2" t="s">
        <v>659</v>
      </c>
      <c r="H154" s="6" t="s">
        <v>42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5" t="str">
        <f t="shared" si="0"/>
        <v>Pending</v>
      </c>
      <c r="O154" s="2" t="s">
        <v>287</v>
      </c>
    </row>
    <row r="155" spans="1:15" ht="24" customHeight="1" x14ac:dyDescent="0.25">
      <c r="A155" s="2">
        <v>154</v>
      </c>
      <c r="B155" s="2" t="s">
        <v>646</v>
      </c>
      <c r="C155" s="2" t="s">
        <v>647</v>
      </c>
      <c r="D155" s="2" t="s">
        <v>660</v>
      </c>
      <c r="E155" s="2" t="s">
        <v>661</v>
      </c>
      <c r="F155" s="2" t="s">
        <v>662</v>
      </c>
      <c r="G155" s="2" t="s">
        <v>663</v>
      </c>
      <c r="H155" s="6" t="s">
        <v>42</v>
      </c>
      <c r="I155" s="4" t="s">
        <v>22</v>
      </c>
      <c r="J155" s="4" t="s">
        <v>23</v>
      </c>
      <c r="K155" s="4" t="s">
        <v>23</v>
      </c>
      <c r="L155" s="4" t="s">
        <v>23</v>
      </c>
      <c r="M155" s="4" t="s">
        <v>23</v>
      </c>
      <c r="N155" s="5" t="str">
        <f t="shared" si="0"/>
        <v>In Progress</v>
      </c>
      <c r="O155" s="2" t="s">
        <v>287</v>
      </c>
    </row>
    <row r="156" spans="1:15" ht="24" customHeight="1" x14ac:dyDescent="0.25">
      <c r="A156" s="2">
        <v>155</v>
      </c>
      <c r="B156" s="2" t="s">
        <v>646</v>
      </c>
      <c r="C156" s="2" t="s">
        <v>647</v>
      </c>
      <c r="D156" s="2" t="s">
        <v>664</v>
      </c>
      <c r="E156" s="2" t="s">
        <v>665</v>
      </c>
      <c r="F156" s="2" t="s">
        <v>666</v>
      </c>
      <c r="G156" s="2" t="s">
        <v>667</v>
      </c>
      <c r="H156" s="6" t="s">
        <v>42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5" t="str">
        <f t="shared" si="0"/>
        <v>Pending</v>
      </c>
      <c r="O156" s="2" t="s">
        <v>287</v>
      </c>
    </row>
    <row r="157" spans="1:15" ht="24" customHeight="1" x14ac:dyDescent="0.25">
      <c r="A157" s="2">
        <v>156</v>
      </c>
      <c r="B157" s="2" t="s">
        <v>646</v>
      </c>
      <c r="C157" s="2" t="s">
        <v>647</v>
      </c>
      <c r="D157" s="2" t="s">
        <v>668</v>
      </c>
      <c r="E157" s="2" t="s">
        <v>489</v>
      </c>
      <c r="F157" s="2" t="s">
        <v>669</v>
      </c>
      <c r="G157" s="2" t="s">
        <v>670</v>
      </c>
      <c r="H157" s="6" t="s">
        <v>42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5" t="str">
        <f t="shared" si="0"/>
        <v>Pending</v>
      </c>
      <c r="O157" s="2" t="s">
        <v>287</v>
      </c>
    </row>
    <row r="158" spans="1:15" ht="24" customHeight="1" x14ac:dyDescent="0.25">
      <c r="A158" s="2">
        <v>157</v>
      </c>
      <c r="B158" s="2" t="s">
        <v>646</v>
      </c>
      <c r="C158" s="2" t="s">
        <v>647</v>
      </c>
      <c r="D158" s="2" t="s">
        <v>671</v>
      </c>
      <c r="E158" s="2" t="s">
        <v>672</v>
      </c>
      <c r="F158" s="2" t="s">
        <v>673</v>
      </c>
      <c r="G158" s="2" t="s">
        <v>674</v>
      </c>
      <c r="H158" s="6" t="s">
        <v>42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5" t="str">
        <f t="shared" si="0"/>
        <v>Pending</v>
      </c>
      <c r="O158" s="2" t="s">
        <v>287</v>
      </c>
    </row>
    <row r="159" spans="1:15" ht="24" customHeight="1" x14ac:dyDescent="0.25">
      <c r="A159" s="2">
        <v>158</v>
      </c>
      <c r="B159" s="2" t="s">
        <v>646</v>
      </c>
      <c r="C159" s="2" t="s">
        <v>647</v>
      </c>
      <c r="D159" s="2" t="s">
        <v>675</v>
      </c>
      <c r="E159" s="2" t="s">
        <v>676</v>
      </c>
      <c r="F159" s="2" t="s">
        <v>677</v>
      </c>
      <c r="G159" s="2" t="s">
        <v>678</v>
      </c>
      <c r="H159" s="6" t="s">
        <v>42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5" t="str">
        <f t="shared" si="0"/>
        <v>Pending</v>
      </c>
      <c r="O159" s="2" t="s">
        <v>287</v>
      </c>
    </row>
    <row r="160" spans="1:15" ht="24" customHeight="1" x14ac:dyDescent="0.25">
      <c r="A160" s="2">
        <v>159</v>
      </c>
      <c r="B160" s="2" t="s">
        <v>646</v>
      </c>
      <c r="C160" s="2" t="s">
        <v>647</v>
      </c>
      <c r="D160" s="2" t="s">
        <v>679</v>
      </c>
      <c r="E160" s="2" t="s">
        <v>680</v>
      </c>
      <c r="F160" s="2" t="s">
        <v>681</v>
      </c>
      <c r="G160" s="2" t="s">
        <v>682</v>
      </c>
      <c r="H160" s="7" t="s">
        <v>61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5" t="str">
        <f t="shared" si="0"/>
        <v>Pending</v>
      </c>
      <c r="O160" s="2" t="s">
        <v>287</v>
      </c>
    </row>
    <row r="161" spans="1:15" ht="24" customHeight="1" x14ac:dyDescent="0.25">
      <c r="A161" s="2">
        <v>160</v>
      </c>
      <c r="B161" s="2" t="s">
        <v>646</v>
      </c>
      <c r="C161" s="2" t="s">
        <v>683</v>
      </c>
      <c r="D161" s="2" t="s">
        <v>684</v>
      </c>
      <c r="E161" s="2" t="s">
        <v>685</v>
      </c>
      <c r="F161" s="2" t="s">
        <v>686</v>
      </c>
      <c r="G161" s="2" t="s">
        <v>687</v>
      </c>
      <c r="H161" s="3" t="s">
        <v>21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5" t="str">
        <f t="shared" si="0"/>
        <v>Pending</v>
      </c>
      <c r="O161" s="2" t="s">
        <v>539</v>
      </c>
    </row>
    <row r="162" spans="1:15" ht="24" customHeight="1" x14ac:dyDescent="0.25">
      <c r="A162" s="2">
        <v>161</v>
      </c>
      <c r="B162" s="2" t="s">
        <v>646</v>
      </c>
      <c r="C162" s="2" t="s">
        <v>683</v>
      </c>
      <c r="D162" s="2" t="s">
        <v>688</v>
      </c>
      <c r="E162" s="2" t="s">
        <v>689</v>
      </c>
      <c r="F162" s="2" t="s">
        <v>690</v>
      </c>
      <c r="G162" s="2" t="s">
        <v>691</v>
      </c>
      <c r="H162" s="6" t="s">
        <v>42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5" t="str">
        <f t="shared" si="0"/>
        <v>Pending</v>
      </c>
      <c r="O162" s="2" t="s">
        <v>692</v>
      </c>
    </row>
    <row r="163" spans="1:15" ht="24" customHeight="1" x14ac:dyDescent="0.25">
      <c r="A163" s="2">
        <v>162</v>
      </c>
      <c r="B163" s="2" t="s">
        <v>646</v>
      </c>
      <c r="C163" s="2" t="s">
        <v>683</v>
      </c>
      <c r="D163" s="2" t="s">
        <v>693</v>
      </c>
      <c r="E163" s="2" t="s">
        <v>694</v>
      </c>
      <c r="F163" s="2" t="s">
        <v>695</v>
      </c>
      <c r="G163" s="2" t="s">
        <v>696</v>
      </c>
      <c r="H163" s="6" t="s">
        <v>42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5" t="str">
        <f t="shared" si="0"/>
        <v>Pending</v>
      </c>
      <c r="O163" s="2" t="s">
        <v>539</v>
      </c>
    </row>
    <row r="164" spans="1:15" ht="24" customHeight="1" x14ac:dyDescent="0.25">
      <c r="A164" s="2">
        <v>163</v>
      </c>
      <c r="B164" s="2" t="s">
        <v>646</v>
      </c>
      <c r="C164" s="2" t="s">
        <v>683</v>
      </c>
      <c r="D164" s="2" t="s">
        <v>697</v>
      </c>
      <c r="E164" s="2" t="s">
        <v>698</v>
      </c>
      <c r="F164" s="2" t="s">
        <v>699</v>
      </c>
      <c r="G164" s="2" t="s">
        <v>700</v>
      </c>
      <c r="H164" s="6" t="s">
        <v>42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5" t="str">
        <f t="shared" si="0"/>
        <v>Pending</v>
      </c>
      <c r="O164" s="2" t="s">
        <v>539</v>
      </c>
    </row>
    <row r="165" spans="1:15" ht="24" customHeight="1" x14ac:dyDescent="0.25">
      <c r="A165" s="2">
        <v>164</v>
      </c>
      <c r="B165" s="2" t="s">
        <v>646</v>
      </c>
      <c r="C165" s="2" t="s">
        <v>683</v>
      </c>
      <c r="D165" s="2" t="s">
        <v>701</v>
      </c>
      <c r="E165" s="2" t="s">
        <v>702</v>
      </c>
      <c r="F165" s="2" t="s">
        <v>703</v>
      </c>
      <c r="G165" s="2" t="s">
        <v>704</v>
      </c>
      <c r="H165" s="7" t="s">
        <v>61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5" t="str">
        <f t="shared" si="0"/>
        <v>Pending</v>
      </c>
      <c r="O165" s="2" t="s">
        <v>539</v>
      </c>
    </row>
    <row r="166" spans="1:15" ht="24" customHeight="1" x14ac:dyDescent="0.25">
      <c r="A166" s="2">
        <v>165</v>
      </c>
      <c r="B166" s="2" t="s">
        <v>646</v>
      </c>
      <c r="C166" s="2" t="s">
        <v>683</v>
      </c>
      <c r="D166" s="2" t="s">
        <v>705</v>
      </c>
      <c r="E166" s="2" t="s">
        <v>706</v>
      </c>
      <c r="F166" s="2" t="s">
        <v>707</v>
      </c>
      <c r="G166" s="2" t="s">
        <v>708</v>
      </c>
      <c r="H166" s="7" t="s">
        <v>61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5" t="str">
        <f t="shared" si="0"/>
        <v>Pending</v>
      </c>
      <c r="O166" s="2" t="s">
        <v>539</v>
      </c>
    </row>
    <row r="167" spans="1:15" ht="24" customHeight="1" x14ac:dyDescent="0.25">
      <c r="A167" s="2">
        <v>166</v>
      </c>
      <c r="B167" s="2" t="s">
        <v>646</v>
      </c>
      <c r="C167" s="2" t="s">
        <v>683</v>
      </c>
      <c r="D167" s="2" t="s">
        <v>709</v>
      </c>
      <c r="E167" s="2" t="s">
        <v>710</v>
      </c>
      <c r="F167" s="2" t="s">
        <v>711</v>
      </c>
      <c r="G167" s="2" t="s">
        <v>712</v>
      </c>
      <c r="H167" s="7" t="s">
        <v>61</v>
      </c>
      <c r="I167" s="4" t="s">
        <v>22</v>
      </c>
      <c r="J167" s="4" t="s">
        <v>23</v>
      </c>
      <c r="K167" s="4" t="s">
        <v>23</v>
      </c>
      <c r="L167" s="4" t="s">
        <v>23</v>
      </c>
      <c r="M167" s="4" t="s">
        <v>23</v>
      </c>
      <c r="N167" s="5" t="str">
        <f t="shared" si="0"/>
        <v>In Progress</v>
      </c>
      <c r="O167" s="2"/>
    </row>
    <row r="168" spans="1:15" ht="24" customHeight="1" x14ac:dyDescent="0.25">
      <c r="A168" s="2">
        <v>167</v>
      </c>
      <c r="B168" s="2" t="s">
        <v>646</v>
      </c>
      <c r="C168" s="2" t="s">
        <v>683</v>
      </c>
      <c r="D168" s="2" t="s">
        <v>713</v>
      </c>
      <c r="E168" s="2" t="s">
        <v>714</v>
      </c>
      <c r="F168" s="2" t="s">
        <v>715</v>
      </c>
      <c r="G168" s="2" t="s">
        <v>716</v>
      </c>
      <c r="H168" s="2" t="s">
        <v>220</v>
      </c>
      <c r="I168" s="4" t="s">
        <v>22</v>
      </c>
      <c r="J168" s="4" t="s">
        <v>23</v>
      </c>
      <c r="K168" s="4" t="s">
        <v>23</v>
      </c>
      <c r="L168" s="4" t="s">
        <v>23</v>
      </c>
      <c r="M168" s="4" t="s">
        <v>23</v>
      </c>
      <c r="N168" s="5" t="str">
        <f t="shared" si="0"/>
        <v>In Progress</v>
      </c>
      <c r="O168" s="2" t="s">
        <v>24</v>
      </c>
    </row>
    <row r="169" spans="1:15" ht="24" customHeight="1" x14ac:dyDescent="0.25">
      <c r="A169" s="2">
        <v>168</v>
      </c>
      <c r="B169" s="2" t="s">
        <v>717</v>
      </c>
      <c r="C169" s="2" t="s">
        <v>718</v>
      </c>
      <c r="D169" s="2" t="s">
        <v>719</v>
      </c>
      <c r="E169" s="2" t="s">
        <v>720</v>
      </c>
      <c r="F169" s="2" t="s">
        <v>721</v>
      </c>
      <c r="G169" s="2" t="s">
        <v>722</v>
      </c>
      <c r="H169" s="3" t="s">
        <v>21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5" t="str">
        <f t="shared" si="0"/>
        <v>Pending</v>
      </c>
      <c r="O169" s="2" t="s">
        <v>91</v>
      </c>
    </row>
    <row r="170" spans="1:15" ht="24" customHeight="1" x14ac:dyDescent="0.25">
      <c r="A170" s="2">
        <v>169</v>
      </c>
      <c r="B170" s="2" t="s">
        <v>717</v>
      </c>
      <c r="C170" s="2" t="s">
        <v>718</v>
      </c>
      <c r="D170" s="2" t="s">
        <v>723</v>
      </c>
      <c r="E170" s="2" t="s">
        <v>724</v>
      </c>
      <c r="F170" s="2" t="s">
        <v>725</v>
      </c>
      <c r="G170" s="2" t="s">
        <v>726</v>
      </c>
      <c r="H170" s="6" t="s">
        <v>42</v>
      </c>
      <c r="I170" s="4" t="s">
        <v>22</v>
      </c>
      <c r="J170" s="4" t="s">
        <v>23</v>
      </c>
      <c r="K170" s="4" t="s">
        <v>23</v>
      </c>
      <c r="L170" s="4" t="s">
        <v>23</v>
      </c>
      <c r="M170" s="4" t="s">
        <v>23</v>
      </c>
      <c r="N170" s="5" t="str">
        <f t="shared" si="0"/>
        <v>In Progress</v>
      </c>
      <c r="O170" s="2" t="s">
        <v>24</v>
      </c>
    </row>
    <row r="171" spans="1:15" ht="24" customHeight="1" x14ac:dyDescent="0.25">
      <c r="A171" s="2">
        <v>170</v>
      </c>
      <c r="B171" s="2" t="s">
        <v>717</v>
      </c>
      <c r="C171" s="2" t="s">
        <v>718</v>
      </c>
      <c r="D171" s="2" t="s">
        <v>727</v>
      </c>
      <c r="E171" s="2" t="s">
        <v>728</v>
      </c>
      <c r="F171" s="2" t="s">
        <v>729</v>
      </c>
      <c r="G171" s="2" t="s">
        <v>730</v>
      </c>
      <c r="H171" s="6" t="s">
        <v>42</v>
      </c>
      <c r="I171" s="4" t="s">
        <v>22</v>
      </c>
      <c r="J171" s="4" t="s">
        <v>23</v>
      </c>
      <c r="K171" s="4" t="s">
        <v>23</v>
      </c>
      <c r="L171" s="4" t="s">
        <v>23</v>
      </c>
      <c r="M171" s="4" t="s">
        <v>23</v>
      </c>
      <c r="N171" s="5" t="str">
        <f t="shared" si="0"/>
        <v>In Progress</v>
      </c>
      <c r="O171" s="2" t="s">
        <v>24</v>
      </c>
    </row>
    <row r="172" spans="1:15" ht="24" customHeight="1" x14ac:dyDescent="0.25">
      <c r="A172" s="2">
        <v>171</v>
      </c>
      <c r="B172" s="2" t="s">
        <v>717</v>
      </c>
      <c r="C172" s="2" t="s">
        <v>718</v>
      </c>
      <c r="D172" s="2" t="s">
        <v>731</v>
      </c>
      <c r="E172" s="2" t="s">
        <v>732</v>
      </c>
      <c r="F172" s="2" t="s">
        <v>733</v>
      </c>
      <c r="G172" s="2" t="s">
        <v>734</v>
      </c>
      <c r="H172" s="6" t="s">
        <v>42</v>
      </c>
      <c r="I172" s="4" t="s">
        <v>22</v>
      </c>
      <c r="J172" s="4" t="s">
        <v>23</v>
      </c>
      <c r="K172" s="4" t="s">
        <v>23</v>
      </c>
      <c r="L172" s="4" t="s">
        <v>23</v>
      </c>
      <c r="M172" s="4" t="s">
        <v>23</v>
      </c>
      <c r="N172" s="5" t="str">
        <f t="shared" si="0"/>
        <v>In Progress</v>
      </c>
      <c r="O172" s="2" t="s">
        <v>24</v>
      </c>
    </row>
    <row r="173" spans="1:15" ht="24" customHeight="1" x14ac:dyDescent="0.25">
      <c r="A173" s="2">
        <v>172</v>
      </c>
      <c r="B173" s="2" t="s">
        <v>717</v>
      </c>
      <c r="C173" s="2" t="s">
        <v>718</v>
      </c>
      <c r="D173" s="2" t="s">
        <v>735</v>
      </c>
      <c r="E173" s="2" t="s">
        <v>736</v>
      </c>
      <c r="F173" s="2" t="s">
        <v>737</v>
      </c>
      <c r="G173" s="2" t="s">
        <v>738</v>
      </c>
      <c r="H173" s="6" t="s">
        <v>42</v>
      </c>
      <c r="I173" s="4" t="s">
        <v>22</v>
      </c>
      <c r="J173" s="4" t="s">
        <v>23</v>
      </c>
      <c r="K173" s="4" t="s">
        <v>23</v>
      </c>
      <c r="L173" s="4" t="s">
        <v>23</v>
      </c>
      <c r="M173" s="4" t="s">
        <v>23</v>
      </c>
      <c r="N173" s="5" t="str">
        <f t="shared" si="0"/>
        <v>In Progress</v>
      </c>
      <c r="O173" s="2" t="s">
        <v>24</v>
      </c>
    </row>
    <row r="174" spans="1:15" ht="24" customHeight="1" x14ac:dyDescent="0.25">
      <c r="A174" s="2">
        <v>173</v>
      </c>
      <c r="B174" s="2" t="s">
        <v>717</v>
      </c>
      <c r="C174" s="2" t="s">
        <v>718</v>
      </c>
      <c r="D174" s="2" t="s">
        <v>739</v>
      </c>
      <c r="E174" s="2" t="s">
        <v>740</v>
      </c>
      <c r="F174" s="2" t="s">
        <v>741</v>
      </c>
      <c r="G174" s="2" t="s">
        <v>738</v>
      </c>
      <c r="H174" s="6" t="s">
        <v>42</v>
      </c>
      <c r="I174" s="4" t="s">
        <v>22</v>
      </c>
      <c r="J174" s="4" t="s">
        <v>23</v>
      </c>
      <c r="K174" s="4" t="s">
        <v>23</v>
      </c>
      <c r="L174" s="4" t="s">
        <v>23</v>
      </c>
      <c r="M174" s="4" t="s">
        <v>23</v>
      </c>
      <c r="N174" s="5" t="str">
        <f t="shared" si="0"/>
        <v>In Progress</v>
      </c>
      <c r="O174" s="2" t="s">
        <v>24</v>
      </c>
    </row>
    <row r="175" spans="1:15" ht="24" customHeight="1" x14ac:dyDescent="0.25">
      <c r="A175" s="2">
        <v>174</v>
      </c>
      <c r="B175" s="2" t="s">
        <v>717</v>
      </c>
      <c r="C175" s="2" t="s">
        <v>718</v>
      </c>
      <c r="D175" s="2" t="s">
        <v>742</v>
      </c>
      <c r="E175" s="2" t="s">
        <v>743</v>
      </c>
      <c r="F175" s="2" t="s">
        <v>744</v>
      </c>
      <c r="G175" s="2" t="s">
        <v>745</v>
      </c>
      <c r="H175" s="6" t="s">
        <v>42</v>
      </c>
      <c r="I175" s="4" t="s">
        <v>22</v>
      </c>
      <c r="J175" s="4" t="s">
        <v>23</v>
      </c>
      <c r="K175" s="4" t="s">
        <v>23</v>
      </c>
      <c r="L175" s="4" t="s">
        <v>23</v>
      </c>
      <c r="M175" s="4" t="s">
        <v>23</v>
      </c>
      <c r="N175" s="5" t="str">
        <f t="shared" si="0"/>
        <v>In Progress</v>
      </c>
      <c r="O175" s="2" t="s">
        <v>24</v>
      </c>
    </row>
    <row r="176" spans="1:15" ht="24" customHeight="1" x14ac:dyDescent="0.25">
      <c r="A176" s="2">
        <v>175</v>
      </c>
      <c r="B176" s="2" t="s">
        <v>717</v>
      </c>
      <c r="C176" s="2" t="s">
        <v>718</v>
      </c>
      <c r="D176" s="2" t="s">
        <v>746</v>
      </c>
      <c r="E176" s="2" t="s">
        <v>747</v>
      </c>
      <c r="F176" s="2" t="s">
        <v>748</v>
      </c>
      <c r="G176" s="2" t="s">
        <v>749</v>
      </c>
      <c r="H176" s="7" t="s">
        <v>61</v>
      </c>
      <c r="I176" s="4" t="s">
        <v>22</v>
      </c>
      <c r="J176" s="4" t="s">
        <v>23</v>
      </c>
      <c r="K176" s="4" t="s">
        <v>23</v>
      </c>
      <c r="L176" s="4" t="s">
        <v>23</v>
      </c>
      <c r="M176" s="4" t="s">
        <v>23</v>
      </c>
      <c r="N176" s="5" t="str">
        <f t="shared" si="0"/>
        <v>In Progress</v>
      </c>
      <c r="O176" s="2" t="s">
        <v>24</v>
      </c>
    </row>
    <row r="177" spans="1:15" ht="24" customHeight="1" x14ac:dyDescent="0.25">
      <c r="A177" s="2">
        <v>176</v>
      </c>
      <c r="B177" s="2" t="s">
        <v>717</v>
      </c>
      <c r="C177" s="2" t="s">
        <v>718</v>
      </c>
      <c r="D177" s="2" t="s">
        <v>750</v>
      </c>
      <c r="E177" s="2" t="s">
        <v>751</v>
      </c>
      <c r="F177" s="2" t="s">
        <v>752</v>
      </c>
      <c r="G177" s="2" t="s">
        <v>753</v>
      </c>
      <c r="H177" s="7" t="s">
        <v>61</v>
      </c>
      <c r="I177" s="4" t="s">
        <v>22</v>
      </c>
      <c r="J177" s="4" t="s">
        <v>23</v>
      </c>
      <c r="K177" s="4" t="s">
        <v>23</v>
      </c>
      <c r="L177" s="4" t="s">
        <v>23</v>
      </c>
      <c r="M177" s="4" t="s">
        <v>23</v>
      </c>
      <c r="N177" s="5" t="str">
        <f t="shared" si="0"/>
        <v>In Progress</v>
      </c>
      <c r="O177" s="2" t="s">
        <v>24</v>
      </c>
    </row>
    <row r="178" spans="1:15" ht="24" customHeight="1" x14ac:dyDescent="0.25">
      <c r="A178" s="2">
        <v>177</v>
      </c>
      <c r="B178" s="2" t="s">
        <v>717</v>
      </c>
      <c r="C178" s="2" t="s">
        <v>718</v>
      </c>
      <c r="D178" s="2" t="s">
        <v>754</v>
      </c>
      <c r="E178" s="2" t="s">
        <v>755</v>
      </c>
      <c r="F178" s="2" t="s">
        <v>756</v>
      </c>
      <c r="G178" s="2" t="s">
        <v>757</v>
      </c>
      <c r="H178" s="7" t="s">
        <v>61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5" t="str">
        <f t="shared" si="0"/>
        <v>Pending</v>
      </c>
      <c r="O178" s="2" t="s">
        <v>91</v>
      </c>
    </row>
    <row r="179" spans="1:15" ht="24" customHeight="1" x14ac:dyDescent="0.25">
      <c r="A179" s="2">
        <v>178</v>
      </c>
      <c r="B179" s="2" t="s">
        <v>717</v>
      </c>
      <c r="C179" s="2" t="s">
        <v>718</v>
      </c>
      <c r="D179" s="2" t="s">
        <v>758</v>
      </c>
      <c r="E179" s="2" t="s">
        <v>759</v>
      </c>
      <c r="F179" s="2" t="s">
        <v>715</v>
      </c>
      <c r="G179" s="2" t="s">
        <v>760</v>
      </c>
      <c r="H179" s="6" t="s">
        <v>42</v>
      </c>
      <c r="I179" s="4" t="s">
        <v>22</v>
      </c>
      <c r="J179" s="4" t="s">
        <v>23</v>
      </c>
      <c r="K179" s="4" t="s">
        <v>23</v>
      </c>
      <c r="L179" s="4" t="s">
        <v>23</v>
      </c>
      <c r="M179" s="4" t="s">
        <v>23</v>
      </c>
      <c r="N179" s="5" t="str">
        <f t="shared" si="0"/>
        <v>In Progress</v>
      </c>
      <c r="O179" s="2" t="s">
        <v>24</v>
      </c>
    </row>
    <row r="180" spans="1:15" ht="24" customHeight="1" x14ac:dyDescent="0.25">
      <c r="A180" s="2">
        <v>179</v>
      </c>
      <c r="B180" s="2" t="s">
        <v>717</v>
      </c>
      <c r="C180" s="2" t="s">
        <v>718</v>
      </c>
      <c r="D180" s="2" t="s">
        <v>761</v>
      </c>
      <c r="E180" s="2" t="s">
        <v>762</v>
      </c>
      <c r="F180" s="2" t="s">
        <v>763</v>
      </c>
      <c r="G180" s="2" t="s">
        <v>764</v>
      </c>
      <c r="H180" s="7" t="s">
        <v>61</v>
      </c>
      <c r="I180" s="4" t="s">
        <v>22</v>
      </c>
      <c r="J180" s="4" t="s">
        <v>23</v>
      </c>
      <c r="K180" s="4" t="s">
        <v>23</v>
      </c>
      <c r="L180" s="4" t="s">
        <v>23</v>
      </c>
      <c r="M180" s="4" t="s">
        <v>23</v>
      </c>
      <c r="N180" s="5" t="str">
        <f t="shared" si="0"/>
        <v>In Progress</v>
      </c>
      <c r="O180" s="2" t="s">
        <v>24</v>
      </c>
    </row>
    <row r="181" spans="1:15" ht="24" customHeight="1" x14ac:dyDescent="0.25">
      <c r="A181" s="2">
        <v>180</v>
      </c>
      <c r="B181" s="2" t="s">
        <v>717</v>
      </c>
      <c r="C181" s="2" t="s">
        <v>718</v>
      </c>
      <c r="D181" s="2" t="s">
        <v>765</v>
      </c>
      <c r="E181" s="2" t="s">
        <v>766</v>
      </c>
      <c r="F181" s="2" t="s">
        <v>767</v>
      </c>
      <c r="G181" s="2" t="s">
        <v>768</v>
      </c>
      <c r="H181" s="2" t="s">
        <v>220</v>
      </c>
      <c r="I181" s="4" t="s">
        <v>22</v>
      </c>
      <c r="J181" s="4" t="s">
        <v>23</v>
      </c>
      <c r="K181" s="4" t="s">
        <v>23</v>
      </c>
      <c r="L181" s="4" t="s">
        <v>23</v>
      </c>
      <c r="M181" s="4" t="s">
        <v>23</v>
      </c>
      <c r="N181" s="5" t="str">
        <f t="shared" si="0"/>
        <v>In Progress</v>
      </c>
      <c r="O181" s="2" t="s">
        <v>24</v>
      </c>
    </row>
    <row r="182" spans="1:15" ht="24" customHeight="1" x14ac:dyDescent="0.25">
      <c r="A182" s="2">
        <v>181</v>
      </c>
      <c r="B182" s="2" t="s">
        <v>717</v>
      </c>
      <c r="C182" s="2" t="s">
        <v>718</v>
      </c>
      <c r="D182" s="2" t="s">
        <v>769</v>
      </c>
      <c r="E182" s="2" t="s">
        <v>770</v>
      </c>
      <c r="F182" s="2" t="s">
        <v>771</v>
      </c>
      <c r="G182" s="2" t="s">
        <v>772</v>
      </c>
      <c r="H182" s="7" t="s">
        <v>61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5" t="str">
        <f t="shared" si="0"/>
        <v>Pending</v>
      </c>
      <c r="O182" s="2" t="s">
        <v>24</v>
      </c>
    </row>
    <row r="183" spans="1:15" ht="24" customHeight="1" x14ac:dyDescent="0.25">
      <c r="A183" s="2">
        <v>182</v>
      </c>
      <c r="B183" s="2" t="s">
        <v>717</v>
      </c>
      <c r="C183" s="2" t="s">
        <v>718</v>
      </c>
      <c r="D183" s="2" t="s">
        <v>773</v>
      </c>
      <c r="E183" s="2" t="s">
        <v>774</v>
      </c>
      <c r="F183" s="2" t="s">
        <v>775</v>
      </c>
      <c r="G183" s="2" t="s">
        <v>518</v>
      </c>
      <c r="H183" s="7" t="s">
        <v>61</v>
      </c>
      <c r="I183" s="4" t="s">
        <v>22</v>
      </c>
      <c r="J183" s="4" t="s">
        <v>23</v>
      </c>
      <c r="K183" s="4" t="s">
        <v>23</v>
      </c>
      <c r="L183" s="4" t="s">
        <v>23</v>
      </c>
      <c r="M183" s="4" t="s">
        <v>23</v>
      </c>
      <c r="N183" s="5" t="str">
        <f t="shared" si="0"/>
        <v>In Progress</v>
      </c>
      <c r="O183" s="2" t="s">
        <v>24</v>
      </c>
    </row>
    <row r="184" spans="1:15" ht="24" customHeight="1" x14ac:dyDescent="0.25">
      <c r="A184" s="2">
        <v>183</v>
      </c>
      <c r="B184" s="2" t="s">
        <v>717</v>
      </c>
      <c r="C184" s="2" t="s">
        <v>718</v>
      </c>
      <c r="D184" s="2" t="s">
        <v>776</v>
      </c>
      <c r="E184" s="2" t="s">
        <v>777</v>
      </c>
      <c r="F184" s="2" t="s">
        <v>778</v>
      </c>
      <c r="G184" s="2" t="s">
        <v>779</v>
      </c>
      <c r="H184" s="7" t="s">
        <v>61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5" t="str">
        <f t="shared" si="0"/>
        <v>Pending</v>
      </c>
      <c r="O184" s="2" t="s">
        <v>24</v>
      </c>
    </row>
    <row r="185" spans="1:15" ht="24" customHeight="1" x14ac:dyDescent="0.25">
      <c r="A185" s="2">
        <v>184</v>
      </c>
      <c r="B185" s="2" t="s">
        <v>717</v>
      </c>
      <c r="C185" s="2" t="s">
        <v>718</v>
      </c>
      <c r="D185" s="2" t="s">
        <v>780</v>
      </c>
      <c r="E185" s="2" t="s">
        <v>781</v>
      </c>
      <c r="F185" s="2" t="s">
        <v>782</v>
      </c>
      <c r="G185" s="2" t="s">
        <v>783</v>
      </c>
      <c r="H185" s="7" t="s">
        <v>61</v>
      </c>
      <c r="I185" s="4" t="s">
        <v>22</v>
      </c>
      <c r="J185" s="4" t="s">
        <v>23</v>
      </c>
      <c r="K185" s="4" t="s">
        <v>23</v>
      </c>
      <c r="L185" s="4" t="s">
        <v>23</v>
      </c>
      <c r="M185" s="4" t="s">
        <v>23</v>
      </c>
      <c r="N185" s="5" t="str">
        <f t="shared" si="0"/>
        <v>In Progress</v>
      </c>
      <c r="O185" s="2" t="s">
        <v>24</v>
      </c>
    </row>
    <row r="186" spans="1:15" ht="24" customHeight="1" x14ac:dyDescent="0.25">
      <c r="A186" s="2">
        <v>185</v>
      </c>
      <c r="B186" s="2" t="s">
        <v>717</v>
      </c>
      <c r="C186" s="2" t="s">
        <v>718</v>
      </c>
      <c r="D186" s="2" t="s">
        <v>784</v>
      </c>
      <c r="E186" s="2" t="s">
        <v>785</v>
      </c>
      <c r="F186" s="2" t="s">
        <v>786</v>
      </c>
      <c r="G186" s="2" t="s">
        <v>787</v>
      </c>
      <c r="H186" s="2" t="s">
        <v>220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5" t="str">
        <f t="shared" si="0"/>
        <v>Pending</v>
      </c>
      <c r="O186" s="2" t="s">
        <v>24</v>
      </c>
    </row>
    <row r="187" spans="1:15" ht="24" customHeight="1" x14ac:dyDescent="0.25">
      <c r="A187" s="2">
        <v>186</v>
      </c>
      <c r="B187" s="2" t="s">
        <v>788</v>
      </c>
      <c r="C187" s="2" t="s">
        <v>789</v>
      </c>
      <c r="D187" s="2" t="s">
        <v>790</v>
      </c>
      <c r="E187" s="2" t="s">
        <v>791</v>
      </c>
      <c r="F187" s="2" t="s">
        <v>792</v>
      </c>
      <c r="G187" s="2" t="s">
        <v>793</v>
      </c>
      <c r="H187" s="3" t="s">
        <v>21</v>
      </c>
      <c r="I187" s="4" t="s">
        <v>22</v>
      </c>
      <c r="J187" s="4" t="s">
        <v>23</v>
      </c>
      <c r="K187" s="4" t="s">
        <v>23</v>
      </c>
      <c r="L187" s="4" t="s">
        <v>23</v>
      </c>
      <c r="M187" s="4" t="s">
        <v>23</v>
      </c>
      <c r="N187" s="5" t="str">
        <f t="shared" si="0"/>
        <v>In Progress</v>
      </c>
      <c r="O187" s="2" t="s">
        <v>24</v>
      </c>
    </row>
    <row r="188" spans="1:15" ht="24" customHeight="1" x14ac:dyDescent="0.25">
      <c r="A188" s="2">
        <v>187</v>
      </c>
      <c r="B188" s="2" t="s">
        <v>788</v>
      </c>
      <c r="C188" s="2" t="s">
        <v>789</v>
      </c>
      <c r="D188" s="2" t="s">
        <v>794</v>
      </c>
      <c r="E188" s="2" t="s">
        <v>724</v>
      </c>
      <c r="F188" s="2" t="s">
        <v>795</v>
      </c>
      <c r="G188" s="2" t="s">
        <v>726</v>
      </c>
      <c r="H188" s="6" t="s">
        <v>42</v>
      </c>
      <c r="I188" s="4" t="s">
        <v>22</v>
      </c>
      <c r="J188" s="4" t="s">
        <v>23</v>
      </c>
      <c r="K188" s="4" t="s">
        <v>23</v>
      </c>
      <c r="L188" s="4" t="s">
        <v>23</v>
      </c>
      <c r="M188" s="4" t="s">
        <v>23</v>
      </c>
      <c r="N188" s="5" t="str">
        <f t="shared" si="0"/>
        <v>In Progress</v>
      </c>
      <c r="O188" s="2" t="s">
        <v>139</v>
      </c>
    </row>
    <row r="189" spans="1:15" ht="24" customHeight="1" x14ac:dyDescent="0.25">
      <c r="A189" s="2">
        <v>188</v>
      </c>
      <c r="B189" s="2" t="s">
        <v>788</v>
      </c>
      <c r="C189" s="2" t="s">
        <v>789</v>
      </c>
      <c r="D189" s="2" t="s">
        <v>796</v>
      </c>
      <c r="E189" s="2" t="s">
        <v>797</v>
      </c>
      <c r="F189" s="2" t="s">
        <v>798</v>
      </c>
      <c r="G189" s="2" t="s">
        <v>799</v>
      </c>
      <c r="H189" s="6" t="s">
        <v>42</v>
      </c>
      <c r="I189" s="4" t="s">
        <v>22</v>
      </c>
      <c r="J189" s="4" t="s">
        <v>23</v>
      </c>
      <c r="K189" s="4" t="s">
        <v>23</v>
      </c>
      <c r="L189" s="4" t="s">
        <v>23</v>
      </c>
      <c r="M189" s="4" t="s">
        <v>23</v>
      </c>
      <c r="N189" s="5" t="str">
        <f t="shared" si="0"/>
        <v>In Progress</v>
      </c>
      <c r="O189" s="2" t="s">
        <v>126</v>
      </c>
    </row>
    <row r="190" spans="1:15" ht="24" customHeight="1" x14ac:dyDescent="0.25">
      <c r="A190" s="2">
        <v>189</v>
      </c>
      <c r="B190" s="2" t="s">
        <v>788</v>
      </c>
      <c r="C190" s="2" t="s">
        <v>789</v>
      </c>
      <c r="D190" s="2" t="s">
        <v>800</v>
      </c>
      <c r="E190" s="2" t="s">
        <v>801</v>
      </c>
      <c r="F190" s="2" t="s">
        <v>802</v>
      </c>
      <c r="G190" s="2" t="s">
        <v>803</v>
      </c>
      <c r="H190" s="6" t="s">
        <v>42</v>
      </c>
      <c r="I190" s="4" t="s">
        <v>22</v>
      </c>
      <c r="J190" s="4" t="s">
        <v>23</v>
      </c>
      <c r="K190" s="4" t="s">
        <v>23</v>
      </c>
      <c r="L190" s="4" t="s">
        <v>23</v>
      </c>
      <c r="M190" s="4" t="s">
        <v>23</v>
      </c>
      <c r="N190" s="5" t="str">
        <f t="shared" si="0"/>
        <v>In Progress</v>
      </c>
      <c r="O190" s="2" t="s">
        <v>24</v>
      </c>
    </row>
    <row r="191" spans="1:15" ht="24" customHeight="1" x14ac:dyDescent="0.25">
      <c r="A191" s="2">
        <v>190</v>
      </c>
      <c r="B191" s="2" t="s">
        <v>788</v>
      </c>
      <c r="C191" s="2" t="s">
        <v>789</v>
      </c>
      <c r="D191" s="2" t="s">
        <v>804</v>
      </c>
      <c r="E191" s="2" t="s">
        <v>805</v>
      </c>
      <c r="F191" s="2" t="s">
        <v>806</v>
      </c>
      <c r="G191" s="2" t="s">
        <v>803</v>
      </c>
      <c r="H191" s="6" t="s">
        <v>42</v>
      </c>
      <c r="I191" s="4" t="s">
        <v>22</v>
      </c>
      <c r="J191" s="4" t="s">
        <v>23</v>
      </c>
      <c r="K191" s="4" t="s">
        <v>23</v>
      </c>
      <c r="L191" s="4" t="s">
        <v>23</v>
      </c>
      <c r="M191" s="4" t="s">
        <v>23</v>
      </c>
      <c r="N191" s="5" t="str">
        <f t="shared" si="0"/>
        <v>In Progress</v>
      </c>
      <c r="O191" s="2" t="s">
        <v>24</v>
      </c>
    </row>
    <row r="192" spans="1:15" ht="24" customHeight="1" x14ac:dyDescent="0.25">
      <c r="A192" s="2">
        <v>191</v>
      </c>
      <c r="B192" s="2" t="s">
        <v>788</v>
      </c>
      <c r="C192" s="2" t="s">
        <v>789</v>
      </c>
      <c r="D192" s="2" t="s">
        <v>807</v>
      </c>
      <c r="E192" s="2" t="s">
        <v>808</v>
      </c>
      <c r="F192" s="2" t="s">
        <v>809</v>
      </c>
      <c r="G192" s="2" t="s">
        <v>810</v>
      </c>
      <c r="H192" s="6" t="s">
        <v>42</v>
      </c>
      <c r="I192" s="4" t="s">
        <v>22</v>
      </c>
      <c r="J192" s="4" t="s">
        <v>23</v>
      </c>
      <c r="K192" s="4" t="s">
        <v>23</v>
      </c>
      <c r="L192" s="4" t="s">
        <v>23</v>
      </c>
      <c r="M192" s="4" t="s">
        <v>23</v>
      </c>
      <c r="N192" s="5" t="str">
        <f t="shared" si="0"/>
        <v>In Progress</v>
      </c>
      <c r="O192" s="2" t="s">
        <v>126</v>
      </c>
    </row>
    <row r="193" spans="1:15" ht="24" customHeight="1" x14ac:dyDescent="0.25">
      <c r="A193" s="2">
        <v>192</v>
      </c>
      <c r="B193" s="2" t="s">
        <v>788</v>
      </c>
      <c r="C193" s="2" t="s">
        <v>789</v>
      </c>
      <c r="D193" s="2" t="s">
        <v>811</v>
      </c>
      <c r="E193" s="2" t="s">
        <v>812</v>
      </c>
      <c r="F193" s="2" t="s">
        <v>813</v>
      </c>
      <c r="G193" s="2" t="s">
        <v>814</v>
      </c>
      <c r="H193" s="6" t="s">
        <v>42</v>
      </c>
      <c r="I193" s="4" t="s">
        <v>22</v>
      </c>
      <c r="J193" s="4" t="s">
        <v>23</v>
      </c>
      <c r="K193" s="4" t="s">
        <v>23</v>
      </c>
      <c r="L193" s="4" t="s">
        <v>23</v>
      </c>
      <c r="M193" s="4" t="s">
        <v>23</v>
      </c>
      <c r="N193" s="5" t="str">
        <f t="shared" si="0"/>
        <v>In Progress</v>
      </c>
      <c r="O193" s="2" t="s">
        <v>24</v>
      </c>
    </row>
    <row r="194" spans="1:15" ht="24" customHeight="1" x14ac:dyDescent="0.25">
      <c r="A194" s="2">
        <v>193</v>
      </c>
      <c r="B194" s="2" t="s">
        <v>788</v>
      </c>
      <c r="C194" s="2" t="s">
        <v>789</v>
      </c>
      <c r="D194" s="2" t="s">
        <v>815</v>
      </c>
      <c r="E194" s="2" t="s">
        <v>816</v>
      </c>
      <c r="F194" s="2" t="s">
        <v>817</v>
      </c>
      <c r="G194" s="2" t="s">
        <v>753</v>
      </c>
      <c r="H194" s="7" t="s">
        <v>61</v>
      </c>
      <c r="I194" s="4" t="s">
        <v>22</v>
      </c>
      <c r="J194" s="4" t="s">
        <v>23</v>
      </c>
      <c r="K194" s="4" t="s">
        <v>23</v>
      </c>
      <c r="L194" s="4" t="s">
        <v>23</v>
      </c>
      <c r="M194" s="4" t="s">
        <v>23</v>
      </c>
      <c r="N194" s="5" t="str">
        <f t="shared" si="0"/>
        <v>In Progress</v>
      </c>
      <c r="O194" s="2" t="s">
        <v>24</v>
      </c>
    </row>
    <row r="195" spans="1:15" ht="24" customHeight="1" x14ac:dyDescent="0.25">
      <c r="A195" s="2">
        <v>194</v>
      </c>
      <c r="B195" s="2" t="s">
        <v>788</v>
      </c>
      <c r="C195" s="2" t="s">
        <v>789</v>
      </c>
      <c r="D195" s="2" t="s">
        <v>818</v>
      </c>
      <c r="E195" s="2" t="s">
        <v>819</v>
      </c>
      <c r="F195" s="2" t="s">
        <v>820</v>
      </c>
      <c r="G195" s="2" t="s">
        <v>821</v>
      </c>
      <c r="H195" s="7" t="s">
        <v>61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5" t="str">
        <f t="shared" si="0"/>
        <v>Pending</v>
      </c>
      <c r="O195" s="2" t="s">
        <v>822</v>
      </c>
    </row>
    <row r="196" spans="1:15" ht="24" customHeight="1" x14ac:dyDescent="0.25">
      <c r="A196" s="2">
        <v>195</v>
      </c>
      <c r="B196" s="2" t="s">
        <v>788</v>
      </c>
      <c r="C196" s="2" t="s">
        <v>789</v>
      </c>
      <c r="D196" s="2" t="s">
        <v>823</v>
      </c>
      <c r="E196" s="2" t="s">
        <v>824</v>
      </c>
      <c r="F196" s="2" t="s">
        <v>825</v>
      </c>
      <c r="G196" s="2" t="s">
        <v>826</v>
      </c>
      <c r="H196" s="6" t="s">
        <v>42</v>
      </c>
      <c r="I196" s="4" t="s">
        <v>22</v>
      </c>
      <c r="J196" s="4" t="s">
        <v>23</v>
      </c>
      <c r="K196" s="4" t="s">
        <v>23</v>
      </c>
      <c r="L196" s="4" t="s">
        <v>23</v>
      </c>
      <c r="M196" s="4" t="s">
        <v>23</v>
      </c>
      <c r="N196" s="5" t="str">
        <f t="shared" si="0"/>
        <v>In Progress</v>
      </c>
      <c r="O196" s="2" t="s">
        <v>24</v>
      </c>
    </row>
    <row r="197" spans="1:15" ht="24" customHeight="1" x14ac:dyDescent="0.25">
      <c r="A197" s="2">
        <v>196</v>
      </c>
      <c r="B197" s="2" t="s">
        <v>788</v>
      </c>
      <c r="C197" s="2" t="s">
        <v>789</v>
      </c>
      <c r="D197" s="2" t="s">
        <v>827</v>
      </c>
      <c r="E197" s="2" t="s">
        <v>828</v>
      </c>
      <c r="F197" s="2" t="s">
        <v>829</v>
      </c>
      <c r="G197" s="2" t="s">
        <v>830</v>
      </c>
      <c r="H197" s="2" t="s">
        <v>220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5" t="str">
        <f t="shared" si="0"/>
        <v>Pending</v>
      </c>
      <c r="O197" s="2" t="s">
        <v>24</v>
      </c>
    </row>
    <row r="198" spans="1:15" ht="24" customHeight="1" x14ac:dyDescent="0.25">
      <c r="A198" s="2">
        <v>197</v>
      </c>
      <c r="B198" s="2" t="s">
        <v>788</v>
      </c>
      <c r="C198" s="2" t="s">
        <v>831</v>
      </c>
      <c r="D198" s="2" t="s">
        <v>832</v>
      </c>
      <c r="E198" s="2" t="s">
        <v>833</v>
      </c>
      <c r="F198" s="2" t="s">
        <v>834</v>
      </c>
      <c r="G198" s="2" t="s">
        <v>835</v>
      </c>
      <c r="H198" s="3" t="s">
        <v>21</v>
      </c>
      <c r="I198" s="4" t="s">
        <v>22</v>
      </c>
      <c r="J198" s="4" t="s">
        <v>23</v>
      </c>
      <c r="K198" s="4" t="s">
        <v>23</v>
      </c>
      <c r="L198" s="4" t="s">
        <v>23</v>
      </c>
      <c r="M198" s="4" t="s">
        <v>23</v>
      </c>
      <c r="N198" s="5" t="str">
        <f t="shared" si="0"/>
        <v>In Progress</v>
      </c>
      <c r="O198" s="2" t="s">
        <v>24</v>
      </c>
    </row>
    <row r="199" spans="1:15" ht="24" customHeight="1" x14ac:dyDescent="0.25">
      <c r="A199" s="2">
        <v>198</v>
      </c>
      <c r="B199" s="2" t="s">
        <v>788</v>
      </c>
      <c r="C199" s="2" t="s">
        <v>831</v>
      </c>
      <c r="D199" s="2" t="s">
        <v>836</v>
      </c>
      <c r="E199" s="2" t="s">
        <v>837</v>
      </c>
      <c r="F199" s="2" t="s">
        <v>838</v>
      </c>
      <c r="G199" s="2" t="s">
        <v>839</v>
      </c>
      <c r="H199" s="3" t="s">
        <v>21</v>
      </c>
      <c r="I199" s="4" t="s">
        <v>22</v>
      </c>
      <c r="J199" s="4" t="s">
        <v>23</v>
      </c>
      <c r="K199" s="4" t="s">
        <v>23</v>
      </c>
      <c r="L199" s="4" t="s">
        <v>23</v>
      </c>
      <c r="M199" s="4" t="s">
        <v>23</v>
      </c>
      <c r="N199" s="5" t="str">
        <f t="shared" si="0"/>
        <v>In Progress</v>
      </c>
      <c r="O199" s="2" t="s">
        <v>24</v>
      </c>
    </row>
    <row r="200" spans="1:15" ht="24" customHeight="1" x14ac:dyDescent="0.25">
      <c r="A200" s="2">
        <v>199</v>
      </c>
      <c r="B200" s="2" t="s">
        <v>788</v>
      </c>
      <c r="C200" s="2" t="s">
        <v>831</v>
      </c>
      <c r="D200" s="2" t="s">
        <v>840</v>
      </c>
      <c r="E200" s="2" t="s">
        <v>841</v>
      </c>
      <c r="F200" s="2" t="s">
        <v>842</v>
      </c>
      <c r="G200" s="2" t="s">
        <v>843</v>
      </c>
      <c r="H200" s="3" t="s">
        <v>21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5" t="str">
        <f t="shared" si="0"/>
        <v>Pending</v>
      </c>
      <c r="O200" s="2" t="s">
        <v>24</v>
      </c>
    </row>
    <row r="201" spans="1:15" ht="24" customHeight="1" x14ac:dyDescent="0.25">
      <c r="A201" s="2">
        <v>200</v>
      </c>
      <c r="B201" s="2" t="s">
        <v>788</v>
      </c>
      <c r="C201" s="2" t="s">
        <v>831</v>
      </c>
      <c r="D201" s="2" t="s">
        <v>844</v>
      </c>
      <c r="E201" s="2" t="s">
        <v>845</v>
      </c>
      <c r="F201" s="2" t="s">
        <v>846</v>
      </c>
      <c r="G201" s="2" t="s">
        <v>847</v>
      </c>
      <c r="H201" s="6" t="s">
        <v>42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5" t="str">
        <f t="shared" si="0"/>
        <v>Pending</v>
      </c>
      <c r="O201" s="2" t="s">
        <v>24</v>
      </c>
    </row>
    <row r="202" spans="1:15" ht="24" customHeight="1" x14ac:dyDescent="0.25">
      <c r="A202" s="2">
        <v>201</v>
      </c>
      <c r="B202" s="2" t="s">
        <v>788</v>
      </c>
      <c r="C202" s="2" t="s">
        <v>831</v>
      </c>
      <c r="D202" s="2" t="s">
        <v>848</v>
      </c>
      <c r="E202" s="2" t="s">
        <v>849</v>
      </c>
      <c r="F202" s="2" t="s">
        <v>850</v>
      </c>
      <c r="G202" s="2" t="s">
        <v>851</v>
      </c>
      <c r="H202" s="6" t="s">
        <v>42</v>
      </c>
      <c r="I202" s="4" t="s">
        <v>22</v>
      </c>
      <c r="J202" s="4" t="s">
        <v>23</v>
      </c>
      <c r="K202" s="4" t="s">
        <v>23</v>
      </c>
      <c r="L202" s="4" t="s">
        <v>23</v>
      </c>
      <c r="M202" s="4" t="s">
        <v>23</v>
      </c>
      <c r="N202" s="5" t="str">
        <f t="shared" si="0"/>
        <v>In Progress</v>
      </c>
      <c r="O202" s="2" t="s">
        <v>852</v>
      </c>
    </row>
    <row r="203" spans="1:15" ht="24" customHeight="1" x14ac:dyDescent="0.25">
      <c r="A203" s="2">
        <v>202</v>
      </c>
      <c r="B203" s="2" t="s">
        <v>788</v>
      </c>
      <c r="C203" s="2" t="s">
        <v>831</v>
      </c>
      <c r="D203" s="2" t="s">
        <v>853</v>
      </c>
      <c r="E203" s="2" t="s">
        <v>854</v>
      </c>
      <c r="F203" s="2" t="s">
        <v>855</v>
      </c>
      <c r="G203" s="2" t="s">
        <v>856</v>
      </c>
      <c r="H203" s="7" t="s">
        <v>61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5" t="str">
        <f t="shared" si="0"/>
        <v>Pending</v>
      </c>
      <c r="O203" s="2" t="s">
        <v>857</v>
      </c>
    </row>
    <row r="204" spans="1:15" ht="24" customHeight="1" x14ac:dyDescent="0.25">
      <c r="A204" s="2">
        <v>203</v>
      </c>
      <c r="B204" s="2" t="s">
        <v>788</v>
      </c>
      <c r="C204" s="2" t="s">
        <v>858</v>
      </c>
      <c r="D204" s="2" t="s">
        <v>859</v>
      </c>
      <c r="E204" s="2" t="s">
        <v>860</v>
      </c>
      <c r="F204" s="2" t="s">
        <v>861</v>
      </c>
      <c r="G204" s="2" t="s">
        <v>862</v>
      </c>
      <c r="H204" s="7" t="s">
        <v>61</v>
      </c>
      <c r="I204" s="4" t="s">
        <v>22</v>
      </c>
      <c r="J204" s="4" t="s">
        <v>23</v>
      </c>
      <c r="K204" s="4" t="s">
        <v>23</v>
      </c>
      <c r="L204" s="4" t="s">
        <v>23</v>
      </c>
      <c r="M204" s="4" t="s">
        <v>23</v>
      </c>
      <c r="N204" s="5" t="str">
        <f t="shared" si="0"/>
        <v>In Progress</v>
      </c>
      <c r="O204" s="2" t="s">
        <v>24</v>
      </c>
    </row>
    <row r="205" spans="1:15" ht="24" customHeight="1" x14ac:dyDescent="0.25">
      <c r="A205" s="2">
        <v>204</v>
      </c>
      <c r="B205" s="2" t="s">
        <v>788</v>
      </c>
      <c r="C205" s="2" t="s">
        <v>858</v>
      </c>
      <c r="D205" s="2" t="s">
        <v>863</v>
      </c>
      <c r="E205" s="2" t="s">
        <v>864</v>
      </c>
      <c r="F205" s="2" t="s">
        <v>865</v>
      </c>
      <c r="G205" s="2" t="s">
        <v>866</v>
      </c>
      <c r="H205" s="2" t="s">
        <v>220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5" t="str">
        <f t="shared" si="0"/>
        <v>Pending</v>
      </c>
      <c r="O205" s="2" t="s">
        <v>867</v>
      </c>
    </row>
    <row r="206" spans="1:15" ht="24" customHeight="1" x14ac:dyDescent="0.25">
      <c r="A206" s="2">
        <v>205</v>
      </c>
      <c r="B206" s="2" t="s">
        <v>788</v>
      </c>
      <c r="C206" s="2" t="s">
        <v>858</v>
      </c>
      <c r="D206" s="2" t="s">
        <v>868</v>
      </c>
      <c r="E206" s="2" t="s">
        <v>869</v>
      </c>
      <c r="F206" s="2" t="s">
        <v>870</v>
      </c>
      <c r="G206" s="2" t="s">
        <v>871</v>
      </c>
      <c r="H206" s="7" t="s">
        <v>61</v>
      </c>
      <c r="I206" s="4" t="s">
        <v>22</v>
      </c>
      <c r="J206" s="4" t="s">
        <v>23</v>
      </c>
      <c r="K206" s="4" t="s">
        <v>23</v>
      </c>
      <c r="L206" s="4" t="s">
        <v>23</v>
      </c>
      <c r="M206" s="4" t="s">
        <v>23</v>
      </c>
      <c r="N206" s="5" t="str">
        <f t="shared" si="0"/>
        <v>In Progress</v>
      </c>
      <c r="O206" s="2" t="s">
        <v>24</v>
      </c>
    </row>
    <row r="207" spans="1:15" ht="24" customHeight="1" x14ac:dyDescent="0.25">
      <c r="A207" s="2">
        <v>206</v>
      </c>
      <c r="B207" s="2" t="s">
        <v>788</v>
      </c>
      <c r="C207" s="2" t="s">
        <v>858</v>
      </c>
      <c r="D207" s="2" t="s">
        <v>872</v>
      </c>
      <c r="E207" s="2" t="s">
        <v>873</v>
      </c>
      <c r="F207" s="2" t="s">
        <v>874</v>
      </c>
      <c r="G207" s="2" t="s">
        <v>875</v>
      </c>
      <c r="H207" s="2" t="s">
        <v>220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5" t="str">
        <f t="shared" si="0"/>
        <v>Pending</v>
      </c>
      <c r="O207" s="8" t="s">
        <v>867</v>
      </c>
    </row>
    <row r="208" spans="1:15" ht="24" customHeight="1" x14ac:dyDescent="0.25">
      <c r="A208" s="2">
        <v>207</v>
      </c>
      <c r="B208" s="2" t="s">
        <v>876</v>
      </c>
      <c r="C208" s="2" t="s">
        <v>877</v>
      </c>
      <c r="D208" s="2" t="s">
        <v>878</v>
      </c>
      <c r="E208" s="2" t="s">
        <v>879</v>
      </c>
      <c r="F208" s="2" t="s">
        <v>880</v>
      </c>
      <c r="G208" s="2" t="s">
        <v>881</v>
      </c>
      <c r="H208" s="6" t="s">
        <v>42</v>
      </c>
      <c r="I208" s="4" t="s">
        <v>22</v>
      </c>
      <c r="J208" s="4" t="s">
        <v>23</v>
      </c>
      <c r="K208" s="4" t="s">
        <v>23</v>
      </c>
      <c r="L208" s="4" t="s">
        <v>23</v>
      </c>
      <c r="M208" s="4" t="s">
        <v>23</v>
      </c>
      <c r="N208" s="5" t="str">
        <f t="shared" si="0"/>
        <v>In Progress</v>
      </c>
      <c r="O208" s="2" t="s">
        <v>24</v>
      </c>
    </row>
    <row r="209" spans="1:15" ht="24" customHeight="1" x14ac:dyDescent="0.25">
      <c r="A209" s="2">
        <v>208</v>
      </c>
      <c r="B209" s="2" t="s">
        <v>876</v>
      </c>
      <c r="C209" s="2" t="s">
        <v>877</v>
      </c>
      <c r="D209" s="2" t="s">
        <v>882</v>
      </c>
      <c r="E209" s="2" t="s">
        <v>883</v>
      </c>
      <c r="F209" s="2" t="s">
        <v>884</v>
      </c>
      <c r="G209" s="2" t="s">
        <v>885</v>
      </c>
      <c r="H209" s="6" t="s">
        <v>42</v>
      </c>
      <c r="I209" s="4" t="s">
        <v>22</v>
      </c>
      <c r="J209" s="4" t="s">
        <v>23</v>
      </c>
      <c r="K209" s="4" t="s">
        <v>23</v>
      </c>
      <c r="L209" s="4" t="s">
        <v>23</v>
      </c>
      <c r="M209" s="4" t="s">
        <v>23</v>
      </c>
      <c r="N209" s="5" t="str">
        <f t="shared" si="0"/>
        <v>In Progress</v>
      </c>
      <c r="O209" s="2"/>
    </row>
    <row r="210" spans="1:15" ht="24" customHeight="1" x14ac:dyDescent="0.25">
      <c r="A210" s="2">
        <v>209</v>
      </c>
      <c r="B210" s="2" t="s">
        <v>876</v>
      </c>
      <c r="C210" s="2" t="s">
        <v>877</v>
      </c>
      <c r="D210" s="2" t="s">
        <v>886</v>
      </c>
      <c r="E210" s="2" t="s">
        <v>887</v>
      </c>
      <c r="F210" s="2" t="s">
        <v>888</v>
      </c>
      <c r="G210" s="2" t="s">
        <v>889</v>
      </c>
      <c r="H210" s="6" t="s">
        <v>42</v>
      </c>
      <c r="I210" s="4" t="s">
        <v>22</v>
      </c>
      <c r="J210" s="4" t="s">
        <v>23</v>
      </c>
      <c r="K210" s="4" t="s">
        <v>23</v>
      </c>
      <c r="L210" s="4" t="s">
        <v>23</v>
      </c>
      <c r="M210" s="4" t="s">
        <v>23</v>
      </c>
      <c r="N210" s="5" t="str">
        <f t="shared" si="0"/>
        <v>In Progress</v>
      </c>
      <c r="O210" s="2" t="s">
        <v>126</v>
      </c>
    </row>
    <row r="211" spans="1:15" ht="24" customHeight="1" x14ac:dyDescent="0.25">
      <c r="A211" s="2">
        <v>210</v>
      </c>
      <c r="B211" s="2" t="s">
        <v>876</v>
      </c>
      <c r="C211" s="2" t="s">
        <v>877</v>
      </c>
      <c r="D211" s="2" t="s">
        <v>890</v>
      </c>
      <c r="E211" s="2" t="s">
        <v>891</v>
      </c>
      <c r="F211" s="2" t="s">
        <v>892</v>
      </c>
      <c r="G211" s="2" t="s">
        <v>893</v>
      </c>
      <c r="H211" s="7" t="s">
        <v>61</v>
      </c>
      <c r="I211" s="4" t="s">
        <v>22</v>
      </c>
      <c r="J211" s="4" t="s">
        <v>23</v>
      </c>
      <c r="K211" s="4" t="s">
        <v>23</v>
      </c>
      <c r="L211" s="4" t="s">
        <v>23</v>
      </c>
      <c r="M211" s="4" t="s">
        <v>23</v>
      </c>
      <c r="N211" s="5" t="str">
        <f t="shared" si="0"/>
        <v>In Progress</v>
      </c>
      <c r="O211" s="2" t="s">
        <v>24</v>
      </c>
    </row>
    <row r="212" spans="1:15" ht="24" customHeight="1" x14ac:dyDescent="0.25">
      <c r="A212" s="2">
        <v>211</v>
      </c>
      <c r="B212" s="2" t="s">
        <v>876</v>
      </c>
      <c r="C212" s="2" t="s">
        <v>877</v>
      </c>
      <c r="D212" s="2" t="s">
        <v>894</v>
      </c>
      <c r="E212" s="2" t="s">
        <v>895</v>
      </c>
      <c r="F212" s="2" t="s">
        <v>896</v>
      </c>
      <c r="G212" s="2" t="s">
        <v>897</v>
      </c>
      <c r="H212" s="6" t="s">
        <v>42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5" t="str">
        <f t="shared" si="0"/>
        <v>Pending</v>
      </c>
      <c r="O212" s="2" t="s">
        <v>24</v>
      </c>
    </row>
    <row r="213" spans="1:15" ht="24" customHeight="1" x14ac:dyDescent="0.25">
      <c r="A213" s="2">
        <v>212</v>
      </c>
      <c r="B213" s="2" t="s">
        <v>876</v>
      </c>
      <c r="C213" s="2" t="s">
        <v>877</v>
      </c>
      <c r="D213" s="2" t="s">
        <v>898</v>
      </c>
      <c r="E213" s="2" t="s">
        <v>899</v>
      </c>
      <c r="F213" s="2" t="s">
        <v>900</v>
      </c>
      <c r="G213" s="2" t="s">
        <v>901</v>
      </c>
      <c r="H213" s="7" t="s">
        <v>61</v>
      </c>
      <c r="I213" s="4" t="s">
        <v>22</v>
      </c>
      <c r="J213" s="4" t="s">
        <v>23</v>
      </c>
      <c r="K213" s="4" t="s">
        <v>23</v>
      </c>
      <c r="L213" s="4" t="s">
        <v>23</v>
      </c>
      <c r="M213" s="4" t="s">
        <v>23</v>
      </c>
      <c r="N213" s="5" t="str">
        <f t="shared" si="0"/>
        <v>In Progress</v>
      </c>
      <c r="O213" s="2" t="s">
        <v>24</v>
      </c>
    </row>
    <row r="214" spans="1:15" ht="24" customHeight="1" x14ac:dyDescent="0.25">
      <c r="A214" s="2">
        <v>213</v>
      </c>
      <c r="B214" s="2" t="s">
        <v>876</v>
      </c>
      <c r="C214" s="2" t="s">
        <v>877</v>
      </c>
      <c r="D214" s="2" t="s">
        <v>902</v>
      </c>
      <c r="E214" s="2" t="s">
        <v>903</v>
      </c>
      <c r="F214" s="2" t="s">
        <v>904</v>
      </c>
      <c r="G214" s="2" t="s">
        <v>901</v>
      </c>
      <c r="H214" s="7" t="s">
        <v>61</v>
      </c>
      <c r="I214" s="4" t="s">
        <v>22</v>
      </c>
      <c r="J214" s="4" t="s">
        <v>23</v>
      </c>
      <c r="K214" s="4" t="s">
        <v>23</v>
      </c>
      <c r="L214" s="4" t="s">
        <v>23</v>
      </c>
      <c r="M214" s="4" t="s">
        <v>23</v>
      </c>
      <c r="N214" s="5" t="str">
        <f t="shared" si="0"/>
        <v>In Progress</v>
      </c>
      <c r="O214" s="2" t="s">
        <v>24</v>
      </c>
    </row>
    <row r="215" spans="1:15" ht="24" customHeight="1" x14ac:dyDescent="0.25">
      <c r="A215" s="2">
        <v>214</v>
      </c>
      <c r="B215" s="2" t="s">
        <v>876</v>
      </c>
      <c r="C215" s="2" t="s">
        <v>905</v>
      </c>
      <c r="D215" s="2" t="s">
        <v>906</v>
      </c>
      <c r="E215" s="2" t="s">
        <v>907</v>
      </c>
      <c r="F215" s="2" t="s">
        <v>908</v>
      </c>
      <c r="G215" s="2" t="s">
        <v>909</v>
      </c>
      <c r="H215" s="6" t="s">
        <v>42</v>
      </c>
      <c r="I215" s="4" t="s">
        <v>22</v>
      </c>
      <c r="J215" s="4" t="s">
        <v>23</v>
      </c>
      <c r="K215" s="4" t="s">
        <v>23</v>
      </c>
      <c r="L215" s="4" t="s">
        <v>23</v>
      </c>
      <c r="M215" s="4" t="s">
        <v>23</v>
      </c>
      <c r="N215" s="5" t="str">
        <f t="shared" si="0"/>
        <v>In Progress</v>
      </c>
      <c r="O215" s="2" t="s">
        <v>24</v>
      </c>
    </row>
    <row r="216" spans="1:15" ht="24" customHeight="1" x14ac:dyDescent="0.25">
      <c r="A216" s="2">
        <v>215</v>
      </c>
      <c r="B216" s="2" t="s">
        <v>876</v>
      </c>
      <c r="C216" s="2" t="s">
        <v>905</v>
      </c>
      <c r="D216" s="2" t="s">
        <v>910</v>
      </c>
      <c r="E216" s="2" t="s">
        <v>911</v>
      </c>
      <c r="F216" s="2" t="s">
        <v>912</v>
      </c>
      <c r="G216" s="2" t="s">
        <v>913</v>
      </c>
      <c r="H216" s="7" t="s">
        <v>61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5" t="str">
        <f t="shared" si="0"/>
        <v>Pending</v>
      </c>
      <c r="O216" s="2" t="s">
        <v>914</v>
      </c>
    </row>
    <row r="217" spans="1:15" ht="24" customHeight="1" x14ac:dyDescent="0.25">
      <c r="A217" s="2">
        <v>216</v>
      </c>
      <c r="B217" s="2" t="s">
        <v>876</v>
      </c>
      <c r="C217" s="2" t="s">
        <v>905</v>
      </c>
      <c r="D217" s="2" t="s">
        <v>915</v>
      </c>
      <c r="E217" s="2" t="s">
        <v>916</v>
      </c>
      <c r="F217" s="2" t="s">
        <v>917</v>
      </c>
      <c r="G217" s="2" t="s">
        <v>918</v>
      </c>
      <c r="H217" s="6" t="s">
        <v>42</v>
      </c>
      <c r="I217" s="4" t="s">
        <v>22</v>
      </c>
      <c r="J217" s="4" t="s">
        <v>23</v>
      </c>
      <c r="K217" s="4" t="s">
        <v>23</v>
      </c>
      <c r="L217" s="4" t="s">
        <v>23</v>
      </c>
      <c r="M217" s="4" t="s">
        <v>23</v>
      </c>
      <c r="N217" s="5" t="str">
        <f t="shared" si="0"/>
        <v>In Progress</v>
      </c>
      <c r="O217" s="2"/>
    </row>
    <row r="218" spans="1:15" ht="24" customHeight="1" x14ac:dyDescent="0.25">
      <c r="A218" s="2">
        <v>217</v>
      </c>
      <c r="B218" s="2" t="s">
        <v>876</v>
      </c>
      <c r="C218" s="2" t="s">
        <v>905</v>
      </c>
      <c r="D218" s="2" t="s">
        <v>919</v>
      </c>
      <c r="E218" s="2" t="s">
        <v>920</v>
      </c>
      <c r="F218" s="2" t="s">
        <v>921</v>
      </c>
      <c r="G218" s="2" t="s">
        <v>922</v>
      </c>
      <c r="H218" s="6" t="s">
        <v>42</v>
      </c>
      <c r="I218" s="4" t="s">
        <v>22</v>
      </c>
      <c r="J218" s="4" t="s">
        <v>23</v>
      </c>
      <c r="K218" s="4" t="s">
        <v>23</v>
      </c>
      <c r="L218" s="4" t="s">
        <v>23</v>
      </c>
      <c r="M218" s="4" t="s">
        <v>23</v>
      </c>
      <c r="N218" s="5" t="str">
        <f t="shared" si="0"/>
        <v>In Progress</v>
      </c>
      <c r="O218" s="2" t="s">
        <v>24</v>
      </c>
    </row>
    <row r="219" spans="1:15" ht="24" customHeight="1" x14ac:dyDescent="0.25">
      <c r="A219" s="2">
        <v>218</v>
      </c>
      <c r="B219" s="2" t="s">
        <v>876</v>
      </c>
      <c r="C219" s="2" t="s">
        <v>905</v>
      </c>
      <c r="D219" s="2" t="s">
        <v>923</v>
      </c>
      <c r="E219" s="2" t="s">
        <v>924</v>
      </c>
      <c r="F219" s="2" t="s">
        <v>925</v>
      </c>
      <c r="G219" s="2" t="s">
        <v>926</v>
      </c>
      <c r="H219" s="7" t="s">
        <v>61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5" t="str">
        <f t="shared" si="0"/>
        <v>Pending</v>
      </c>
      <c r="O219" s="2" t="s">
        <v>24</v>
      </c>
    </row>
    <row r="220" spans="1:15" ht="24" customHeight="1" x14ac:dyDescent="0.25">
      <c r="A220" s="2">
        <v>219</v>
      </c>
      <c r="B220" s="2" t="s">
        <v>876</v>
      </c>
      <c r="C220" s="2" t="s">
        <v>905</v>
      </c>
      <c r="D220" s="2" t="s">
        <v>927</v>
      </c>
      <c r="E220" s="2" t="s">
        <v>928</v>
      </c>
      <c r="F220" s="2" t="s">
        <v>929</v>
      </c>
      <c r="G220" s="2" t="s">
        <v>930</v>
      </c>
      <c r="H220" s="6" t="s">
        <v>42</v>
      </c>
      <c r="I220" s="4" t="s">
        <v>22</v>
      </c>
      <c r="J220" s="4" t="s">
        <v>23</v>
      </c>
      <c r="K220" s="4" t="s">
        <v>23</v>
      </c>
      <c r="L220" s="4" t="s">
        <v>23</v>
      </c>
      <c r="M220" s="4" t="s">
        <v>23</v>
      </c>
      <c r="N220" s="5" t="str">
        <f t="shared" si="0"/>
        <v>In Progress</v>
      </c>
      <c r="O220" s="2" t="s">
        <v>24</v>
      </c>
    </row>
    <row r="221" spans="1:15" ht="24" customHeight="1" x14ac:dyDescent="0.25">
      <c r="A221" s="2">
        <v>220</v>
      </c>
      <c r="B221" s="2" t="s">
        <v>876</v>
      </c>
      <c r="C221" s="2" t="s">
        <v>905</v>
      </c>
      <c r="D221" s="2" t="s">
        <v>931</v>
      </c>
      <c r="E221" s="2" t="s">
        <v>932</v>
      </c>
      <c r="F221" s="2" t="s">
        <v>925</v>
      </c>
      <c r="G221" s="2" t="s">
        <v>933</v>
      </c>
      <c r="H221" s="7" t="s">
        <v>61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5" t="str">
        <f t="shared" si="0"/>
        <v>Pending</v>
      </c>
      <c r="O221" s="2" t="s">
        <v>24</v>
      </c>
    </row>
    <row r="222" spans="1:15" ht="24" customHeight="1" x14ac:dyDescent="0.25">
      <c r="A222" s="2">
        <v>221</v>
      </c>
      <c r="B222" s="2" t="s">
        <v>934</v>
      </c>
      <c r="C222" s="2" t="s">
        <v>935</v>
      </c>
      <c r="D222" s="2" t="s">
        <v>936</v>
      </c>
      <c r="E222" s="2" t="s">
        <v>937</v>
      </c>
      <c r="F222" s="2" t="s">
        <v>938</v>
      </c>
      <c r="G222" s="2" t="s">
        <v>939</v>
      </c>
      <c r="H222" s="3" t="s">
        <v>21</v>
      </c>
      <c r="I222" s="4" t="s">
        <v>22</v>
      </c>
      <c r="J222" s="4" t="s">
        <v>23</v>
      </c>
      <c r="K222" s="4" t="s">
        <v>23</v>
      </c>
      <c r="L222" s="4" t="s">
        <v>23</v>
      </c>
      <c r="M222" s="4" t="s">
        <v>23</v>
      </c>
      <c r="N222" s="5" t="str">
        <f t="shared" si="0"/>
        <v>In Progress</v>
      </c>
      <c r="O222" s="2" t="s">
        <v>24</v>
      </c>
    </row>
    <row r="223" spans="1:15" ht="24" customHeight="1" x14ac:dyDescent="0.25">
      <c r="A223" s="2">
        <v>222</v>
      </c>
      <c r="B223" s="2" t="s">
        <v>934</v>
      </c>
      <c r="C223" s="2" t="s">
        <v>935</v>
      </c>
      <c r="D223" s="2" t="s">
        <v>940</v>
      </c>
      <c r="E223" s="2" t="s">
        <v>941</v>
      </c>
      <c r="F223" s="2" t="s">
        <v>942</v>
      </c>
      <c r="G223" s="2" t="s">
        <v>943</v>
      </c>
      <c r="H223" s="6" t="s">
        <v>42</v>
      </c>
      <c r="I223" s="4" t="s">
        <v>22</v>
      </c>
      <c r="J223" s="4" t="s">
        <v>23</v>
      </c>
      <c r="K223" s="4" t="s">
        <v>23</v>
      </c>
      <c r="L223" s="4" t="s">
        <v>23</v>
      </c>
      <c r="M223" s="4" t="s">
        <v>23</v>
      </c>
      <c r="N223" s="5" t="str">
        <f t="shared" si="0"/>
        <v>In Progress</v>
      </c>
      <c r="O223" s="2" t="s">
        <v>126</v>
      </c>
    </row>
    <row r="224" spans="1:15" ht="24" customHeight="1" x14ac:dyDescent="0.25">
      <c r="A224" s="2">
        <v>223</v>
      </c>
      <c r="B224" s="2" t="s">
        <v>934</v>
      </c>
      <c r="C224" s="2" t="s">
        <v>935</v>
      </c>
      <c r="D224" s="2" t="s">
        <v>944</v>
      </c>
      <c r="E224" s="2" t="s">
        <v>945</v>
      </c>
      <c r="F224" s="2" t="s">
        <v>946</v>
      </c>
      <c r="G224" s="2" t="s">
        <v>947</v>
      </c>
      <c r="H224" s="6" t="s">
        <v>42</v>
      </c>
      <c r="I224" s="4" t="s">
        <v>22</v>
      </c>
      <c r="J224" s="4" t="s">
        <v>23</v>
      </c>
      <c r="K224" s="4" t="s">
        <v>23</v>
      </c>
      <c r="L224" s="4" t="s">
        <v>23</v>
      </c>
      <c r="M224" s="4" t="s">
        <v>23</v>
      </c>
      <c r="N224" s="5" t="str">
        <f t="shared" si="0"/>
        <v>In Progress</v>
      </c>
      <c r="O224" s="2" t="s">
        <v>126</v>
      </c>
    </row>
    <row r="225" spans="1:15" ht="24" customHeight="1" x14ac:dyDescent="0.25">
      <c r="A225" s="2">
        <v>224</v>
      </c>
      <c r="B225" s="2" t="s">
        <v>934</v>
      </c>
      <c r="C225" s="2" t="s">
        <v>935</v>
      </c>
      <c r="D225" s="2" t="s">
        <v>948</v>
      </c>
      <c r="E225" s="2" t="s">
        <v>949</v>
      </c>
      <c r="F225" s="2" t="s">
        <v>950</v>
      </c>
      <c r="G225" s="2" t="s">
        <v>951</v>
      </c>
      <c r="H225" s="6" t="s">
        <v>42</v>
      </c>
      <c r="I225" s="4" t="s">
        <v>22</v>
      </c>
      <c r="J225" s="4" t="s">
        <v>23</v>
      </c>
      <c r="K225" s="4" t="s">
        <v>23</v>
      </c>
      <c r="L225" s="4" t="s">
        <v>23</v>
      </c>
      <c r="M225" s="4" t="s">
        <v>23</v>
      </c>
      <c r="N225" s="5" t="str">
        <f t="shared" si="0"/>
        <v>In Progress</v>
      </c>
      <c r="O225" s="2" t="s">
        <v>126</v>
      </c>
    </row>
    <row r="226" spans="1:15" ht="24" customHeight="1" x14ac:dyDescent="0.25">
      <c r="A226" s="2">
        <v>225</v>
      </c>
      <c r="B226" s="2" t="s">
        <v>934</v>
      </c>
      <c r="C226" s="2" t="s">
        <v>935</v>
      </c>
      <c r="D226" s="2" t="s">
        <v>952</v>
      </c>
      <c r="E226" s="2" t="s">
        <v>953</v>
      </c>
      <c r="F226" s="2" t="s">
        <v>954</v>
      </c>
      <c r="G226" s="2" t="s">
        <v>955</v>
      </c>
      <c r="H226" s="6" t="s">
        <v>42</v>
      </c>
      <c r="I226" s="4" t="s">
        <v>22</v>
      </c>
      <c r="J226" s="4" t="s">
        <v>23</v>
      </c>
      <c r="K226" s="4" t="s">
        <v>23</v>
      </c>
      <c r="L226" s="4" t="s">
        <v>23</v>
      </c>
      <c r="M226" s="4" t="s">
        <v>23</v>
      </c>
      <c r="N226" s="5" t="str">
        <f t="shared" si="0"/>
        <v>In Progress</v>
      </c>
      <c r="O226" s="2" t="s">
        <v>126</v>
      </c>
    </row>
    <row r="227" spans="1:15" ht="24" customHeight="1" x14ac:dyDescent="0.25">
      <c r="A227" s="2">
        <v>226</v>
      </c>
      <c r="B227" s="2" t="s">
        <v>934</v>
      </c>
      <c r="C227" s="2" t="s">
        <v>956</v>
      </c>
      <c r="D227" s="2" t="s">
        <v>957</v>
      </c>
      <c r="E227" s="2" t="s">
        <v>958</v>
      </c>
      <c r="F227" s="2" t="s">
        <v>959</v>
      </c>
      <c r="G227" s="2" t="s">
        <v>960</v>
      </c>
      <c r="H227" s="6" t="s">
        <v>42</v>
      </c>
      <c r="I227" s="4" t="s">
        <v>22</v>
      </c>
      <c r="J227" s="4" t="s">
        <v>23</v>
      </c>
      <c r="K227" s="4" t="s">
        <v>23</v>
      </c>
      <c r="L227" s="4" t="s">
        <v>23</v>
      </c>
      <c r="M227" s="4" t="s">
        <v>23</v>
      </c>
      <c r="N227" s="5" t="str">
        <f t="shared" si="0"/>
        <v>In Progress</v>
      </c>
      <c r="O227" s="2" t="s">
        <v>24</v>
      </c>
    </row>
    <row r="228" spans="1:15" ht="24" customHeight="1" x14ac:dyDescent="0.25">
      <c r="A228" s="2">
        <v>227</v>
      </c>
      <c r="B228" s="2" t="s">
        <v>934</v>
      </c>
      <c r="C228" s="2" t="s">
        <v>956</v>
      </c>
      <c r="D228" s="2" t="s">
        <v>961</v>
      </c>
      <c r="E228" s="2" t="s">
        <v>962</v>
      </c>
      <c r="F228" s="2" t="s">
        <v>963</v>
      </c>
      <c r="G228" s="2" t="s">
        <v>964</v>
      </c>
      <c r="H228" s="6" t="s">
        <v>42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5" t="str">
        <f t="shared" si="0"/>
        <v>Pending</v>
      </c>
      <c r="O228" s="2" t="s">
        <v>24</v>
      </c>
    </row>
    <row r="229" spans="1:15" ht="24" customHeight="1" x14ac:dyDescent="0.25">
      <c r="A229" s="2">
        <v>228</v>
      </c>
      <c r="B229" s="2" t="s">
        <v>934</v>
      </c>
      <c r="C229" s="2" t="s">
        <v>956</v>
      </c>
      <c r="D229" s="2" t="s">
        <v>965</v>
      </c>
      <c r="E229" s="2" t="s">
        <v>854</v>
      </c>
      <c r="F229" s="2" t="s">
        <v>966</v>
      </c>
      <c r="G229" s="2" t="s">
        <v>856</v>
      </c>
      <c r="H229" s="6" t="s">
        <v>42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5" t="str">
        <f t="shared" si="0"/>
        <v>Pending</v>
      </c>
      <c r="O229" s="2" t="s">
        <v>24</v>
      </c>
    </row>
    <row r="230" spans="1:15" ht="24" customHeight="1" x14ac:dyDescent="0.25">
      <c r="A230" s="2">
        <v>229</v>
      </c>
      <c r="B230" s="2" t="s">
        <v>934</v>
      </c>
      <c r="C230" s="2" t="s">
        <v>956</v>
      </c>
      <c r="D230" s="2" t="s">
        <v>967</v>
      </c>
      <c r="E230" s="2" t="s">
        <v>968</v>
      </c>
      <c r="F230" s="2" t="s">
        <v>969</v>
      </c>
      <c r="G230" s="2" t="s">
        <v>970</v>
      </c>
      <c r="H230" s="7" t="s">
        <v>61</v>
      </c>
      <c r="I230" s="4" t="s">
        <v>22</v>
      </c>
      <c r="J230" s="4" t="s">
        <v>23</v>
      </c>
      <c r="K230" s="4" t="s">
        <v>23</v>
      </c>
      <c r="L230" s="4" t="s">
        <v>23</v>
      </c>
      <c r="M230" s="4" t="s">
        <v>23</v>
      </c>
      <c r="N230" s="5" t="str">
        <f t="shared" si="0"/>
        <v>In Progress</v>
      </c>
      <c r="O230" s="2" t="s">
        <v>24</v>
      </c>
    </row>
    <row r="231" spans="1:15" ht="24" customHeight="1" x14ac:dyDescent="0.25">
      <c r="A231" s="2">
        <v>230</v>
      </c>
      <c r="B231" s="2" t="s">
        <v>934</v>
      </c>
      <c r="C231" s="2" t="s">
        <v>956</v>
      </c>
      <c r="D231" s="2" t="s">
        <v>971</v>
      </c>
      <c r="E231" s="2" t="s">
        <v>972</v>
      </c>
      <c r="F231" s="2" t="s">
        <v>973</v>
      </c>
      <c r="G231" s="2" t="s">
        <v>974</v>
      </c>
      <c r="H231" s="7" t="s">
        <v>61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5" t="str">
        <f t="shared" si="0"/>
        <v>Pending</v>
      </c>
      <c r="O231" s="2" t="s">
        <v>975</v>
      </c>
    </row>
    <row r="232" spans="1:15" ht="24" customHeight="1" x14ac:dyDescent="0.25">
      <c r="A232" s="2">
        <v>231</v>
      </c>
      <c r="B232" s="2" t="s">
        <v>934</v>
      </c>
      <c r="C232" s="2" t="s">
        <v>976</v>
      </c>
      <c r="D232" s="2" t="s">
        <v>977</v>
      </c>
      <c r="E232" s="2" t="s">
        <v>978</v>
      </c>
      <c r="F232" s="2" t="s">
        <v>979</v>
      </c>
      <c r="G232" s="2" t="s">
        <v>980</v>
      </c>
      <c r="H232" s="6" t="s">
        <v>42</v>
      </c>
      <c r="I232" s="4" t="s">
        <v>22</v>
      </c>
      <c r="J232" s="4" t="s">
        <v>23</v>
      </c>
      <c r="K232" s="4" t="s">
        <v>23</v>
      </c>
      <c r="L232" s="4" t="s">
        <v>23</v>
      </c>
      <c r="M232" s="4" t="s">
        <v>23</v>
      </c>
      <c r="N232" s="5" t="str">
        <f t="shared" si="0"/>
        <v>In Progress</v>
      </c>
      <c r="O232" s="2" t="s">
        <v>24</v>
      </c>
    </row>
    <row r="233" spans="1:15" ht="24" customHeight="1" x14ac:dyDescent="0.25">
      <c r="A233" s="2">
        <v>232</v>
      </c>
      <c r="B233" s="2" t="s">
        <v>934</v>
      </c>
      <c r="C233" s="2" t="s">
        <v>976</v>
      </c>
      <c r="D233" s="2" t="s">
        <v>981</v>
      </c>
      <c r="E233" s="2" t="s">
        <v>982</v>
      </c>
      <c r="F233" s="2" t="s">
        <v>983</v>
      </c>
      <c r="G233" s="2" t="s">
        <v>984</v>
      </c>
      <c r="H233" s="6" t="s">
        <v>42</v>
      </c>
      <c r="I233" s="4" t="s">
        <v>22</v>
      </c>
      <c r="J233" s="4" t="s">
        <v>23</v>
      </c>
      <c r="K233" s="4" t="s">
        <v>23</v>
      </c>
      <c r="L233" s="4" t="s">
        <v>23</v>
      </c>
      <c r="M233" s="4" t="s">
        <v>23</v>
      </c>
      <c r="N233" s="5" t="str">
        <f t="shared" si="0"/>
        <v>In Progress</v>
      </c>
      <c r="O233" s="2" t="s">
        <v>24</v>
      </c>
    </row>
    <row r="234" spans="1:15" ht="24" customHeight="1" x14ac:dyDescent="0.25">
      <c r="A234" s="2">
        <v>233</v>
      </c>
      <c r="B234" s="2" t="s">
        <v>934</v>
      </c>
      <c r="C234" s="2" t="s">
        <v>976</v>
      </c>
      <c r="D234" s="2" t="s">
        <v>985</v>
      </c>
      <c r="E234" s="2" t="s">
        <v>689</v>
      </c>
      <c r="F234" s="2" t="s">
        <v>986</v>
      </c>
      <c r="G234" s="2" t="s">
        <v>455</v>
      </c>
      <c r="H234" s="7" t="s">
        <v>61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5" t="str">
        <f t="shared" si="0"/>
        <v>Pending</v>
      </c>
      <c r="O234" s="2" t="s">
        <v>24</v>
      </c>
    </row>
    <row r="235" spans="1:15" ht="24" customHeight="1" x14ac:dyDescent="0.25">
      <c r="A235" s="2">
        <v>234</v>
      </c>
      <c r="B235" s="2" t="s">
        <v>987</v>
      </c>
      <c r="C235" s="2" t="s">
        <v>988</v>
      </c>
      <c r="D235" s="2" t="s">
        <v>989</v>
      </c>
      <c r="E235" s="2" t="s">
        <v>990</v>
      </c>
      <c r="F235" s="2" t="s">
        <v>991</v>
      </c>
      <c r="G235" s="2" t="s">
        <v>992</v>
      </c>
      <c r="H235" s="3" t="s">
        <v>21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5" t="str">
        <f t="shared" si="0"/>
        <v>Pending</v>
      </c>
      <c r="O235" s="2" t="s">
        <v>91</v>
      </c>
    </row>
    <row r="236" spans="1:15" ht="24" customHeight="1" x14ac:dyDescent="0.25">
      <c r="A236" s="2">
        <v>235</v>
      </c>
      <c r="B236" s="2" t="s">
        <v>987</v>
      </c>
      <c r="C236" s="2" t="s">
        <v>988</v>
      </c>
      <c r="D236" s="2" t="s">
        <v>993</v>
      </c>
      <c r="E236" s="2" t="s">
        <v>994</v>
      </c>
      <c r="F236" s="2" t="s">
        <v>995</v>
      </c>
      <c r="G236" s="2" t="s">
        <v>996</v>
      </c>
      <c r="H236" s="6" t="s">
        <v>42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5" t="str">
        <f t="shared" si="0"/>
        <v>Pending</v>
      </c>
      <c r="O236" s="2" t="s">
        <v>91</v>
      </c>
    </row>
    <row r="237" spans="1:15" ht="24" customHeight="1" x14ac:dyDescent="0.25">
      <c r="A237" s="2">
        <v>236</v>
      </c>
      <c r="B237" s="2" t="s">
        <v>987</v>
      </c>
      <c r="C237" s="2" t="s">
        <v>988</v>
      </c>
      <c r="D237" s="2" t="s">
        <v>997</v>
      </c>
      <c r="E237" s="2" t="s">
        <v>998</v>
      </c>
      <c r="F237" s="2" t="s">
        <v>201</v>
      </c>
      <c r="G237" s="2" t="s">
        <v>999</v>
      </c>
      <c r="H237" s="6" t="s">
        <v>42</v>
      </c>
      <c r="I237" s="4" t="s">
        <v>22</v>
      </c>
      <c r="J237" s="4" t="s">
        <v>23</v>
      </c>
      <c r="K237" s="4" t="s">
        <v>23</v>
      </c>
      <c r="L237" s="4" t="s">
        <v>23</v>
      </c>
      <c r="M237" s="4" t="s">
        <v>23</v>
      </c>
      <c r="N237" s="5" t="str">
        <f t="shared" si="0"/>
        <v>In Progress</v>
      </c>
      <c r="O237" s="2" t="s">
        <v>126</v>
      </c>
    </row>
    <row r="238" spans="1:15" ht="24" customHeight="1" x14ac:dyDescent="0.25">
      <c r="A238" s="2">
        <v>237</v>
      </c>
      <c r="B238" s="2" t="s">
        <v>987</v>
      </c>
      <c r="C238" s="2" t="s">
        <v>988</v>
      </c>
      <c r="D238" s="2" t="s">
        <v>1000</v>
      </c>
      <c r="E238" s="2" t="s">
        <v>1001</v>
      </c>
      <c r="F238" s="2" t="s">
        <v>1002</v>
      </c>
      <c r="G238" s="2" t="s">
        <v>999</v>
      </c>
      <c r="H238" s="6" t="s">
        <v>42</v>
      </c>
      <c r="I238" s="4" t="s">
        <v>22</v>
      </c>
      <c r="J238" s="4" t="s">
        <v>23</v>
      </c>
      <c r="K238" s="4" t="s">
        <v>23</v>
      </c>
      <c r="L238" s="4" t="s">
        <v>23</v>
      </c>
      <c r="M238" s="4" t="s">
        <v>23</v>
      </c>
      <c r="N238" s="5" t="str">
        <f t="shared" si="0"/>
        <v>In Progress</v>
      </c>
      <c r="O238" s="2" t="s">
        <v>126</v>
      </c>
    </row>
    <row r="239" spans="1:15" ht="24" customHeight="1" x14ac:dyDescent="0.25">
      <c r="A239" s="2">
        <v>238</v>
      </c>
      <c r="B239" s="2" t="s">
        <v>987</v>
      </c>
      <c r="C239" s="2" t="s">
        <v>988</v>
      </c>
      <c r="D239" s="2" t="s">
        <v>1003</v>
      </c>
      <c r="E239" s="2" t="s">
        <v>1004</v>
      </c>
      <c r="F239" s="2" t="s">
        <v>1005</v>
      </c>
      <c r="G239" s="2" t="s">
        <v>1006</v>
      </c>
      <c r="H239" s="3" t="s">
        <v>21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5" t="str">
        <f t="shared" si="0"/>
        <v>Pending</v>
      </c>
      <c r="O239" s="2" t="s">
        <v>1007</v>
      </c>
    </row>
    <row r="240" spans="1:15" ht="24" customHeight="1" x14ac:dyDescent="0.25">
      <c r="A240" s="2">
        <v>239</v>
      </c>
      <c r="B240" s="2" t="s">
        <v>987</v>
      </c>
      <c r="C240" s="2" t="s">
        <v>988</v>
      </c>
      <c r="D240" s="2" t="s">
        <v>1008</v>
      </c>
      <c r="E240" s="2" t="s">
        <v>1009</v>
      </c>
      <c r="F240" s="2" t="s">
        <v>1010</v>
      </c>
      <c r="G240" s="2" t="s">
        <v>1011</v>
      </c>
      <c r="H240" s="2" t="s">
        <v>220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5" t="str">
        <f t="shared" si="0"/>
        <v>Pending</v>
      </c>
      <c r="O240" s="2" t="s">
        <v>91</v>
      </c>
    </row>
    <row r="241" spans="1:15" ht="24" customHeight="1" x14ac:dyDescent="0.25">
      <c r="A241" s="2">
        <v>240</v>
      </c>
      <c r="B241" s="2" t="s">
        <v>987</v>
      </c>
      <c r="C241" s="2" t="s">
        <v>988</v>
      </c>
      <c r="D241" s="2" t="s">
        <v>1012</v>
      </c>
      <c r="E241" s="2" t="s">
        <v>1013</v>
      </c>
      <c r="F241" s="2" t="s">
        <v>1014</v>
      </c>
      <c r="G241" s="2" t="s">
        <v>1015</v>
      </c>
      <c r="H241" s="2" t="s">
        <v>220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5" t="str">
        <f t="shared" si="0"/>
        <v>Pending</v>
      </c>
      <c r="O241" s="2" t="s">
        <v>91</v>
      </c>
    </row>
    <row r="242" spans="1:15" ht="24" customHeight="1" x14ac:dyDescent="0.25">
      <c r="A242" s="2">
        <v>241</v>
      </c>
      <c r="B242" s="2" t="s">
        <v>987</v>
      </c>
      <c r="C242" s="2" t="s">
        <v>1016</v>
      </c>
      <c r="D242" s="2" t="s">
        <v>1017</v>
      </c>
      <c r="E242" s="2" t="s">
        <v>1018</v>
      </c>
      <c r="F242" s="2" t="s">
        <v>1019</v>
      </c>
      <c r="G242" s="2" t="s">
        <v>1020</v>
      </c>
      <c r="H242" s="3" t="s">
        <v>21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5" t="str">
        <f t="shared" si="0"/>
        <v>Pending</v>
      </c>
      <c r="O242" s="2" t="s">
        <v>1007</v>
      </c>
    </row>
    <row r="243" spans="1:15" ht="24" customHeight="1" x14ac:dyDescent="0.25">
      <c r="A243" s="2">
        <v>242</v>
      </c>
      <c r="B243" s="2" t="s">
        <v>987</v>
      </c>
      <c r="C243" s="2" t="s">
        <v>1016</v>
      </c>
      <c r="D243" s="2" t="s">
        <v>1021</v>
      </c>
      <c r="E243" s="2" t="s">
        <v>1022</v>
      </c>
      <c r="F243" s="2" t="s">
        <v>1023</v>
      </c>
      <c r="G243" s="2" t="s">
        <v>1024</v>
      </c>
      <c r="H243" s="6" t="s">
        <v>42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5" t="str">
        <f t="shared" si="0"/>
        <v>Pending</v>
      </c>
      <c r="O243" s="2" t="s">
        <v>1007</v>
      </c>
    </row>
    <row r="244" spans="1:15" ht="24" customHeight="1" x14ac:dyDescent="0.25">
      <c r="A244" s="2">
        <v>243</v>
      </c>
      <c r="B244" s="2" t="s">
        <v>987</v>
      </c>
      <c r="C244" s="2" t="s">
        <v>1016</v>
      </c>
      <c r="D244" s="2" t="s">
        <v>1025</v>
      </c>
      <c r="E244" s="2" t="s">
        <v>1026</v>
      </c>
      <c r="F244" s="2" t="s">
        <v>1027</v>
      </c>
      <c r="G244" s="2" t="s">
        <v>1028</v>
      </c>
      <c r="H244" s="6" t="s">
        <v>42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5" t="str">
        <f t="shared" si="0"/>
        <v>Pending</v>
      </c>
      <c r="O244" s="2" t="s">
        <v>1007</v>
      </c>
    </row>
    <row r="245" spans="1:15" ht="24" customHeight="1" x14ac:dyDescent="0.25">
      <c r="A245" s="2">
        <v>244</v>
      </c>
      <c r="B245" s="2" t="s">
        <v>987</v>
      </c>
      <c r="C245" s="2" t="s">
        <v>1016</v>
      </c>
      <c r="D245" s="2" t="s">
        <v>1029</v>
      </c>
      <c r="E245" s="2" t="s">
        <v>1030</v>
      </c>
      <c r="F245" s="2" t="s">
        <v>1031</v>
      </c>
      <c r="G245" s="2" t="s">
        <v>1032</v>
      </c>
      <c r="H245" s="6" t="s">
        <v>42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5" t="str">
        <f t="shared" si="0"/>
        <v>Pending</v>
      </c>
      <c r="O245" s="2" t="s">
        <v>1007</v>
      </c>
    </row>
    <row r="246" spans="1:15" ht="24" customHeight="1" x14ac:dyDescent="0.25">
      <c r="A246" s="2">
        <v>245</v>
      </c>
      <c r="B246" s="2" t="s">
        <v>987</v>
      </c>
      <c r="C246" s="2" t="s">
        <v>1016</v>
      </c>
      <c r="D246" s="2" t="s">
        <v>1033</v>
      </c>
      <c r="E246" s="2" t="s">
        <v>1034</v>
      </c>
      <c r="F246" s="2" t="s">
        <v>1035</v>
      </c>
      <c r="G246" s="2" t="s">
        <v>933</v>
      </c>
      <c r="H246" s="7" t="s">
        <v>61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5" t="str">
        <f t="shared" si="0"/>
        <v>Pending</v>
      </c>
      <c r="O246" s="2" t="s">
        <v>1007</v>
      </c>
    </row>
    <row r="247" spans="1:15" ht="24" customHeight="1" x14ac:dyDescent="0.25">
      <c r="A247" s="2">
        <v>246</v>
      </c>
      <c r="B247" s="2" t="s">
        <v>987</v>
      </c>
      <c r="C247" s="2" t="s">
        <v>1036</v>
      </c>
      <c r="D247" s="2" t="s">
        <v>1037</v>
      </c>
      <c r="E247" s="2" t="s">
        <v>1038</v>
      </c>
      <c r="F247" s="2" t="s">
        <v>1039</v>
      </c>
      <c r="G247" s="2" t="s">
        <v>1040</v>
      </c>
      <c r="H247" s="6" t="s">
        <v>42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5" t="str">
        <f t="shared" si="0"/>
        <v>Pending</v>
      </c>
      <c r="O247" s="2" t="s">
        <v>91</v>
      </c>
    </row>
    <row r="248" spans="1:15" ht="24" customHeight="1" x14ac:dyDescent="0.25">
      <c r="A248" s="2">
        <v>247</v>
      </c>
      <c r="B248" s="2" t="s">
        <v>987</v>
      </c>
      <c r="C248" s="2" t="s">
        <v>1036</v>
      </c>
      <c r="D248" s="2" t="s">
        <v>1041</v>
      </c>
      <c r="E248" s="2" t="s">
        <v>1042</v>
      </c>
      <c r="F248" s="2" t="s">
        <v>1043</v>
      </c>
      <c r="G248" s="2" t="s">
        <v>1044</v>
      </c>
      <c r="H248" s="6" t="s">
        <v>42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5" t="str">
        <f t="shared" si="0"/>
        <v>Pending</v>
      </c>
      <c r="O248" s="2" t="s">
        <v>91</v>
      </c>
    </row>
    <row r="249" spans="1:15" ht="24" customHeight="1" x14ac:dyDescent="0.25">
      <c r="A249" s="2">
        <v>248</v>
      </c>
      <c r="B249" s="2" t="s">
        <v>987</v>
      </c>
      <c r="C249" s="2" t="s">
        <v>1036</v>
      </c>
      <c r="D249" s="2" t="s">
        <v>1045</v>
      </c>
      <c r="E249" s="2" t="s">
        <v>1046</v>
      </c>
      <c r="F249" s="2" t="s">
        <v>995</v>
      </c>
      <c r="G249" s="2" t="s">
        <v>1047</v>
      </c>
      <c r="H249" s="7" t="s">
        <v>61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5" t="str">
        <f t="shared" si="0"/>
        <v>Pending</v>
      </c>
      <c r="O249" s="2" t="s">
        <v>91</v>
      </c>
    </row>
    <row r="250" spans="1:15" ht="24" customHeight="1" x14ac:dyDescent="0.25">
      <c r="A250" s="2">
        <v>249</v>
      </c>
      <c r="B250" s="2" t="s">
        <v>1048</v>
      </c>
      <c r="C250" s="2" t="s">
        <v>24</v>
      </c>
      <c r="D250" s="2" t="s">
        <v>1049</v>
      </c>
      <c r="E250" s="2" t="s">
        <v>1050</v>
      </c>
      <c r="F250" s="2" t="s">
        <v>1051</v>
      </c>
      <c r="G250" s="2" t="s">
        <v>1052</v>
      </c>
      <c r="H250" s="6" t="s">
        <v>42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5" t="str">
        <f t="shared" si="0"/>
        <v>Pending</v>
      </c>
      <c r="O250" s="2" t="s">
        <v>1053</v>
      </c>
    </row>
    <row r="251" spans="1:15" ht="24" customHeight="1" x14ac:dyDescent="0.25">
      <c r="A251" s="2">
        <v>250</v>
      </c>
      <c r="B251" s="2" t="s">
        <v>1048</v>
      </c>
      <c r="C251" s="2" t="s">
        <v>24</v>
      </c>
      <c r="D251" s="2" t="s">
        <v>1054</v>
      </c>
      <c r="E251" s="2" t="s">
        <v>1055</v>
      </c>
      <c r="F251" s="2" t="s">
        <v>1056</v>
      </c>
      <c r="G251" s="2" t="s">
        <v>1057</v>
      </c>
      <c r="H251" s="6" t="s">
        <v>42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5" t="str">
        <f t="shared" si="0"/>
        <v>Pending</v>
      </c>
      <c r="O251" s="2" t="s">
        <v>1053</v>
      </c>
    </row>
    <row r="252" spans="1:15" ht="24" customHeight="1" x14ac:dyDescent="0.25">
      <c r="A252" s="2">
        <v>251</v>
      </c>
      <c r="B252" s="2" t="s">
        <v>1048</v>
      </c>
      <c r="C252" s="2" t="s">
        <v>24</v>
      </c>
      <c r="D252" s="2" t="s">
        <v>1058</v>
      </c>
      <c r="E252" s="2" t="s">
        <v>1059</v>
      </c>
      <c r="F252" s="2" t="s">
        <v>1060</v>
      </c>
      <c r="G252" s="2" t="s">
        <v>1061</v>
      </c>
      <c r="H252" s="6" t="s">
        <v>42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5" t="str">
        <f t="shared" si="0"/>
        <v>Pending</v>
      </c>
      <c r="O252" s="2" t="s">
        <v>1062</v>
      </c>
    </row>
    <row r="253" spans="1:15" ht="24" customHeight="1" x14ac:dyDescent="0.25">
      <c r="A253" s="2">
        <v>252</v>
      </c>
      <c r="B253" s="2" t="s">
        <v>1048</v>
      </c>
      <c r="C253" s="2" t="s">
        <v>24</v>
      </c>
      <c r="D253" s="2" t="s">
        <v>1063</v>
      </c>
      <c r="E253" s="2" t="s">
        <v>998</v>
      </c>
      <c r="F253" s="2" t="s">
        <v>201</v>
      </c>
      <c r="G253" s="2" t="s">
        <v>1061</v>
      </c>
      <c r="H253" s="7" t="s">
        <v>61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5" t="str">
        <f t="shared" si="0"/>
        <v>Pending</v>
      </c>
      <c r="O253" s="2" t="s">
        <v>24</v>
      </c>
    </row>
    <row r="254" spans="1:15" ht="24" customHeight="1" x14ac:dyDescent="0.25">
      <c r="A254" s="2">
        <v>253</v>
      </c>
      <c r="B254" s="2" t="s">
        <v>1048</v>
      </c>
      <c r="C254" s="2" t="s">
        <v>24</v>
      </c>
      <c r="D254" s="2" t="s">
        <v>1064</v>
      </c>
      <c r="E254" s="2" t="s">
        <v>1065</v>
      </c>
      <c r="F254" s="2" t="s">
        <v>1066</v>
      </c>
      <c r="G254" s="2" t="s">
        <v>1067</v>
      </c>
      <c r="H254" s="7" t="s">
        <v>61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5" t="str">
        <f t="shared" si="0"/>
        <v>Pending</v>
      </c>
      <c r="O254" s="2" t="s">
        <v>24</v>
      </c>
    </row>
    <row r="255" spans="1:15" ht="24" customHeight="1" x14ac:dyDescent="0.25">
      <c r="A255" s="2">
        <v>254</v>
      </c>
      <c r="B255" s="2" t="s">
        <v>1048</v>
      </c>
      <c r="C255" s="2" t="s">
        <v>24</v>
      </c>
      <c r="D255" s="2" t="s">
        <v>1068</v>
      </c>
      <c r="E255" s="2" t="s">
        <v>1069</v>
      </c>
      <c r="F255" s="2" t="s">
        <v>1070</v>
      </c>
      <c r="G255" s="2" t="s">
        <v>1071</v>
      </c>
      <c r="H255" s="2" t="s">
        <v>220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5" t="str">
        <f t="shared" si="0"/>
        <v>Pending</v>
      </c>
      <c r="O255" s="2" t="s">
        <v>1072</v>
      </c>
    </row>
    <row r="256" spans="1:15" ht="24" customHeight="1" x14ac:dyDescent="0.25">
      <c r="A256" s="2">
        <v>255</v>
      </c>
      <c r="B256" s="2" t="s">
        <v>1073</v>
      </c>
      <c r="C256" s="2" t="s">
        <v>1074</v>
      </c>
      <c r="D256" s="2" t="s">
        <v>1075</v>
      </c>
      <c r="E256" s="2" t="s">
        <v>1076</v>
      </c>
      <c r="F256" s="2" t="s">
        <v>1077</v>
      </c>
      <c r="G256" s="2" t="s">
        <v>1078</v>
      </c>
      <c r="H256" s="3" t="s">
        <v>21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5" t="str">
        <f t="shared" si="0"/>
        <v>Pending</v>
      </c>
      <c r="O256" s="9" t="s">
        <v>1079</v>
      </c>
    </row>
    <row r="257" spans="1:15" ht="24" customHeight="1" x14ac:dyDescent="0.25">
      <c r="A257" s="2">
        <v>256</v>
      </c>
      <c r="B257" s="2" t="s">
        <v>1073</v>
      </c>
      <c r="C257" s="2" t="s">
        <v>1074</v>
      </c>
      <c r="D257" s="2" t="s">
        <v>1080</v>
      </c>
      <c r="E257" s="2" t="s">
        <v>1081</v>
      </c>
      <c r="F257" s="2" t="s">
        <v>1082</v>
      </c>
      <c r="G257" s="2" t="s">
        <v>1083</v>
      </c>
      <c r="H257" s="6" t="s">
        <v>42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5" t="str">
        <f t="shared" ref="N257:N329" si="1">IF(COUNTIF(I257:L257,"☑")=4,"Complete",IF(COUNTIF(I257:L257,"☑")&gt;0,"In Progress","Pending"))</f>
        <v>Pending</v>
      </c>
      <c r="O257" s="9" t="s">
        <v>1079</v>
      </c>
    </row>
    <row r="258" spans="1:15" ht="24" customHeight="1" x14ac:dyDescent="0.25">
      <c r="A258" s="2">
        <v>257</v>
      </c>
      <c r="B258" s="2" t="s">
        <v>1073</v>
      </c>
      <c r="C258" s="2" t="s">
        <v>1074</v>
      </c>
      <c r="D258" s="2" t="s">
        <v>1084</v>
      </c>
      <c r="E258" s="2" t="s">
        <v>1085</v>
      </c>
      <c r="F258" s="2" t="s">
        <v>1086</v>
      </c>
      <c r="G258" s="2" t="s">
        <v>1087</v>
      </c>
      <c r="H258" s="7" t="s">
        <v>61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5" t="str">
        <f t="shared" si="1"/>
        <v>Pending</v>
      </c>
      <c r="O258" s="9" t="s">
        <v>1079</v>
      </c>
    </row>
    <row r="259" spans="1:15" ht="24" customHeight="1" x14ac:dyDescent="0.25">
      <c r="A259" s="2">
        <v>258</v>
      </c>
      <c r="B259" s="2" t="s">
        <v>1073</v>
      </c>
      <c r="C259" s="2" t="s">
        <v>1074</v>
      </c>
      <c r="D259" s="2" t="s">
        <v>1088</v>
      </c>
      <c r="E259" s="2" t="s">
        <v>1089</v>
      </c>
      <c r="F259" s="2" t="s">
        <v>1090</v>
      </c>
      <c r="G259" s="2" t="s">
        <v>1091</v>
      </c>
      <c r="H259" s="6" t="s">
        <v>42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5" t="str">
        <f t="shared" si="1"/>
        <v>Pending</v>
      </c>
      <c r="O259" s="9" t="s">
        <v>1079</v>
      </c>
    </row>
    <row r="260" spans="1:15" ht="24" customHeight="1" x14ac:dyDescent="0.25">
      <c r="A260" s="2">
        <v>259</v>
      </c>
      <c r="B260" s="2" t="s">
        <v>1073</v>
      </c>
      <c r="C260" s="2" t="s">
        <v>1074</v>
      </c>
      <c r="D260" s="2" t="s">
        <v>1092</v>
      </c>
      <c r="E260" s="2" t="s">
        <v>724</v>
      </c>
      <c r="F260" s="2" t="s">
        <v>1093</v>
      </c>
      <c r="G260" s="2" t="s">
        <v>1094</v>
      </c>
      <c r="H260" s="6" t="s">
        <v>42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5" t="str">
        <f t="shared" si="1"/>
        <v>Pending</v>
      </c>
      <c r="O260" s="9" t="s">
        <v>1079</v>
      </c>
    </row>
    <row r="261" spans="1:15" ht="24" customHeight="1" x14ac:dyDescent="0.25">
      <c r="A261" s="2">
        <v>260</v>
      </c>
      <c r="B261" s="2" t="s">
        <v>1073</v>
      </c>
      <c r="C261" s="2" t="s">
        <v>1074</v>
      </c>
      <c r="D261" s="2" t="s">
        <v>1095</v>
      </c>
      <c r="E261" s="2" t="s">
        <v>812</v>
      </c>
      <c r="F261" s="2" t="s">
        <v>1096</v>
      </c>
      <c r="G261" s="2" t="s">
        <v>1097</v>
      </c>
      <c r="H261" s="7" t="s">
        <v>61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5" t="str">
        <f t="shared" si="1"/>
        <v>Pending</v>
      </c>
      <c r="O261" s="9" t="s">
        <v>1079</v>
      </c>
    </row>
    <row r="262" spans="1:15" ht="24" customHeight="1" x14ac:dyDescent="0.25">
      <c r="A262" s="2">
        <v>261</v>
      </c>
      <c r="B262" s="2" t="s">
        <v>1073</v>
      </c>
      <c r="C262" s="2" t="s">
        <v>1074</v>
      </c>
      <c r="D262" s="2" t="s">
        <v>1098</v>
      </c>
      <c r="E262" s="2" t="s">
        <v>1099</v>
      </c>
      <c r="F262" s="2" t="s">
        <v>1100</v>
      </c>
      <c r="G262" s="2" t="s">
        <v>1101</v>
      </c>
      <c r="H262" s="7" t="s">
        <v>61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5" t="str">
        <f t="shared" si="1"/>
        <v>Pending</v>
      </c>
      <c r="O262" s="9" t="s">
        <v>1079</v>
      </c>
    </row>
    <row r="263" spans="1:15" ht="24" customHeight="1" x14ac:dyDescent="0.25">
      <c r="A263" s="2">
        <v>262</v>
      </c>
      <c r="B263" s="2" t="s">
        <v>1073</v>
      </c>
      <c r="C263" s="2" t="s">
        <v>1074</v>
      </c>
      <c r="D263" s="2" t="s">
        <v>1102</v>
      </c>
      <c r="E263" s="2" t="s">
        <v>1103</v>
      </c>
      <c r="F263" s="2" t="s">
        <v>1104</v>
      </c>
      <c r="G263" s="2" t="s">
        <v>1105</v>
      </c>
      <c r="H263" s="7" t="s">
        <v>61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5" t="str">
        <f t="shared" si="1"/>
        <v>Pending</v>
      </c>
      <c r="O263" s="9" t="s">
        <v>1079</v>
      </c>
    </row>
    <row r="264" spans="1:15" ht="24" customHeight="1" x14ac:dyDescent="0.25">
      <c r="A264" s="2">
        <v>263</v>
      </c>
      <c r="B264" s="2" t="s">
        <v>1073</v>
      </c>
      <c r="C264" s="2" t="s">
        <v>1106</v>
      </c>
      <c r="D264" s="2" t="s">
        <v>1107</v>
      </c>
      <c r="E264" s="2" t="s">
        <v>1108</v>
      </c>
      <c r="F264" s="2" t="s">
        <v>1109</v>
      </c>
      <c r="G264" s="2" t="s">
        <v>1110</v>
      </c>
      <c r="H264" s="6" t="s">
        <v>42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5" t="str">
        <f t="shared" si="1"/>
        <v>Pending</v>
      </c>
      <c r="O264" s="9" t="s">
        <v>1079</v>
      </c>
    </row>
    <row r="265" spans="1:15" ht="24" customHeight="1" x14ac:dyDescent="0.25">
      <c r="A265" s="2">
        <v>264</v>
      </c>
      <c r="B265" s="2" t="s">
        <v>1073</v>
      </c>
      <c r="C265" s="2" t="s">
        <v>1106</v>
      </c>
      <c r="D265" s="2" t="s">
        <v>1111</v>
      </c>
      <c r="E265" s="2" t="s">
        <v>1112</v>
      </c>
      <c r="F265" s="2" t="s">
        <v>1093</v>
      </c>
      <c r="G265" s="2" t="s">
        <v>1094</v>
      </c>
      <c r="H265" s="7" t="s">
        <v>61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5" t="str">
        <f t="shared" si="1"/>
        <v>Pending</v>
      </c>
      <c r="O265" s="9" t="s">
        <v>1079</v>
      </c>
    </row>
    <row r="266" spans="1:15" ht="24" customHeight="1" x14ac:dyDescent="0.25">
      <c r="A266" s="2">
        <v>265</v>
      </c>
      <c r="B266" s="2" t="s">
        <v>1073</v>
      </c>
      <c r="C266" s="2" t="s">
        <v>1113</v>
      </c>
      <c r="D266" s="2" t="s">
        <v>1114</v>
      </c>
      <c r="E266" s="2" t="s">
        <v>1115</v>
      </c>
      <c r="F266" s="2" t="s">
        <v>1109</v>
      </c>
      <c r="G266" s="2" t="s">
        <v>1116</v>
      </c>
      <c r="H266" s="6" t="s">
        <v>42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5" t="str">
        <f t="shared" si="1"/>
        <v>Pending</v>
      </c>
      <c r="O266" s="9" t="s">
        <v>1079</v>
      </c>
    </row>
    <row r="267" spans="1:15" ht="24" customHeight="1" x14ac:dyDescent="0.25">
      <c r="A267" s="2">
        <v>266</v>
      </c>
      <c r="B267" s="2" t="s">
        <v>1073</v>
      </c>
      <c r="C267" s="2" t="s">
        <v>1113</v>
      </c>
      <c r="D267" s="2" t="s">
        <v>1117</v>
      </c>
      <c r="E267" s="2" t="s">
        <v>1112</v>
      </c>
      <c r="F267" s="2" t="s">
        <v>1093</v>
      </c>
      <c r="G267" s="2" t="s">
        <v>1094</v>
      </c>
      <c r="H267" s="7" t="s">
        <v>61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5" t="str">
        <f t="shared" si="1"/>
        <v>Pending</v>
      </c>
      <c r="O267" s="9" t="s">
        <v>1079</v>
      </c>
    </row>
    <row r="268" spans="1:15" ht="24" customHeight="1" x14ac:dyDescent="0.25">
      <c r="A268" s="2">
        <v>267</v>
      </c>
      <c r="B268" s="2" t="s">
        <v>1118</v>
      </c>
      <c r="C268" s="2" t="s">
        <v>1119</v>
      </c>
      <c r="D268" s="2" t="s">
        <v>1120</v>
      </c>
      <c r="E268" s="2" t="s">
        <v>1121</v>
      </c>
      <c r="F268" s="2" t="s">
        <v>1122</v>
      </c>
      <c r="G268" s="2" t="s">
        <v>1123</v>
      </c>
      <c r="H268" s="6" t="s">
        <v>42</v>
      </c>
      <c r="I268" s="4" t="s">
        <v>22</v>
      </c>
      <c r="J268" s="4" t="s">
        <v>23</v>
      </c>
      <c r="K268" s="4" t="s">
        <v>23</v>
      </c>
      <c r="L268" s="4" t="s">
        <v>23</v>
      </c>
      <c r="M268" s="4" t="s">
        <v>23</v>
      </c>
      <c r="N268" s="5" t="str">
        <f t="shared" si="1"/>
        <v>In Progress</v>
      </c>
      <c r="O268" s="9"/>
    </row>
    <row r="269" spans="1:15" ht="24" customHeight="1" x14ac:dyDescent="0.25">
      <c r="A269" s="2">
        <v>268</v>
      </c>
      <c r="B269" s="2" t="s">
        <v>1118</v>
      </c>
      <c r="C269" s="2" t="s">
        <v>1119</v>
      </c>
      <c r="D269" s="2" t="s">
        <v>1124</v>
      </c>
      <c r="E269" s="2" t="s">
        <v>1125</v>
      </c>
      <c r="F269" s="2" t="s">
        <v>1126</v>
      </c>
      <c r="G269" s="2" t="s">
        <v>1127</v>
      </c>
      <c r="H269" s="7" t="s">
        <v>61</v>
      </c>
      <c r="I269" s="4" t="s">
        <v>22</v>
      </c>
      <c r="J269" s="4" t="s">
        <v>23</v>
      </c>
      <c r="K269" s="4" t="s">
        <v>23</v>
      </c>
      <c r="L269" s="4" t="s">
        <v>23</v>
      </c>
      <c r="M269" s="4" t="s">
        <v>23</v>
      </c>
      <c r="N269" s="5" t="str">
        <f t="shared" si="1"/>
        <v>In Progress</v>
      </c>
      <c r="O269" s="9"/>
    </row>
    <row r="270" spans="1:15" ht="24" customHeight="1" x14ac:dyDescent="0.25">
      <c r="A270" s="2">
        <v>269</v>
      </c>
      <c r="B270" s="2" t="s">
        <v>1118</v>
      </c>
      <c r="C270" s="2" t="s">
        <v>1128</v>
      </c>
      <c r="D270" s="2" t="s">
        <v>1129</v>
      </c>
      <c r="E270" s="2" t="s">
        <v>1130</v>
      </c>
      <c r="F270" s="2" t="s">
        <v>1131</v>
      </c>
      <c r="G270" s="2" t="s">
        <v>1132</v>
      </c>
      <c r="H270" s="6" t="s">
        <v>42</v>
      </c>
      <c r="I270" s="4" t="s">
        <v>22</v>
      </c>
      <c r="J270" s="4" t="s">
        <v>23</v>
      </c>
      <c r="K270" s="4" t="s">
        <v>23</v>
      </c>
      <c r="L270" s="4" t="s">
        <v>23</v>
      </c>
      <c r="M270" s="4" t="s">
        <v>23</v>
      </c>
      <c r="N270" s="5" t="str">
        <f t="shared" si="1"/>
        <v>In Progress</v>
      </c>
      <c r="O270" s="9"/>
    </row>
    <row r="271" spans="1:15" ht="24" customHeight="1" x14ac:dyDescent="0.25">
      <c r="A271" s="2">
        <v>270</v>
      </c>
      <c r="B271" s="2" t="s">
        <v>1118</v>
      </c>
      <c r="C271" s="2" t="s">
        <v>1128</v>
      </c>
      <c r="D271" s="2" t="s">
        <v>1133</v>
      </c>
      <c r="E271" s="2" t="s">
        <v>1134</v>
      </c>
      <c r="F271" s="2" t="s">
        <v>1135</v>
      </c>
      <c r="G271" s="2" t="s">
        <v>1136</v>
      </c>
      <c r="H271" s="7" t="s">
        <v>61</v>
      </c>
      <c r="I271" s="4" t="s">
        <v>22</v>
      </c>
      <c r="J271" s="4" t="s">
        <v>23</v>
      </c>
      <c r="K271" s="4" t="s">
        <v>23</v>
      </c>
      <c r="L271" s="4" t="s">
        <v>23</v>
      </c>
      <c r="M271" s="4" t="s">
        <v>23</v>
      </c>
      <c r="N271" s="5" t="str">
        <f t="shared" si="1"/>
        <v>In Progress</v>
      </c>
      <c r="O271" s="2" t="s">
        <v>24</v>
      </c>
    </row>
    <row r="272" spans="1:15" ht="24" customHeight="1" x14ac:dyDescent="0.25">
      <c r="A272" s="2">
        <v>271</v>
      </c>
      <c r="B272" s="2" t="s">
        <v>1118</v>
      </c>
      <c r="C272" s="2" t="s">
        <v>1128</v>
      </c>
      <c r="D272" s="2" t="s">
        <v>1137</v>
      </c>
      <c r="E272" s="2" t="s">
        <v>1138</v>
      </c>
      <c r="F272" s="2" t="s">
        <v>1139</v>
      </c>
      <c r="G272" s="2" t="s">
        <v>1140</v>
      </c>
      <c r="H272" s="7" t="s">
        <v>61</v>
      </c>
      <c r="I272" s="4" t="s">
        <v>22</v>
      </c>
      <c r="J272" s="4" t="s">
        <v>23</v>
      </c>
      <c r="K272" s="4" t="s">
        <v>23</v>
      </c>
      <c r="L272" s="4" t="s">
        <v>23</v>
      </c>
      <c r="M272" s="4" t="s">
        <v>23</v>
      </c>
      <c r="N272" s="5" t="str">
        <f t="shared" si="1"/>
        <v>In Progress</v>
      </c>
      <c r="O272" s="2" t="s">
        <v>24</v>
      </c>
    </row>
    <row r="273" spans="1:15" ht="24" customHeight="1" x14ac:dyDescent="0.25">
      <c r="A273" s="2">
        <v>272</v>
      </c>
      <c r="B273" s="2" t="s">
        <v>1141</v>
      </c>
      <c r="C273" s="2" t="s">
        <v>1142</v>
      </c>
      <c r="D273" s="2" t="s">
        <v>1143</v>
      </c>
      <c r="E273" s="2" t="s">
        <v>1144</v>
      </c>
      <c r="F273" s="2" t="s">
        <v>1145</v>
      </c>
      <c r="G273" s="2" t="s">
        <v>1146</v>
      </c>
      <c r="H273" s="6" t="s">
        <v>42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5" t="str">
        <f t="shared" si="1"/>
        <v>Pending</v>
      </c>
      <c r="O273" s="2" t="s">
        <v>1147</v>
      </c>
    </row>
    <row r="274" spans="1:15" ht="24" customHeight="1" x14ac:dyDescent="0.25">
      <c r="A274" s="2">
        <v>273</v>
      </c>
      <c r="B274" s="2" t="s">
        <v>1141</v>
      </c>
      <c r="C274" s="2" t="s">
        <v>1142</v>
      </c>
      <c r="D274" s="2" t="s">
        <v>1148</v>
      </c>
      <c r="E274" s="2" t="s">
        <v>1149</v>
      </c>
      <c r="F274" s="2" t="s">
        <v>1150</v>
      </c>
      <c r="G274" s="2" t="s">
        <v>1151</v>
      </c>
      <c r="H274" s="6" t="s">
        <v>42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5" t="str">
        <f t="shared" si="1"/>
        <v>Pending</v>
      </c>
      <c r="O274" s="2" t="s">
        <v>1152</v>
      </c>
    </row>
    <row r="275" spans="1:15" ht="24" customHeight="1" x14ac:dyDescent="0.25">
      <c r="A275" s="2">
        <v>274</v>
      </c>
      <c r="B275" s="2" t="s">
        <v>1141</v>
      </c>
      <c r="C275" s="2" t="s">
        <v>1142</v>
      </c>
      <c r="D275" s="2" t="s">
        <v>1153</v>
      </c>
      <c r="E275" s="2" t="s">
        <v>1154</v>
      </c>
      <c r="F275" s="2" t="s">
        <v>1155</v>
      </c>
      <c r="G275" s="2" t="s">
        <v>1156</v>
      </c>
      <c r="H275" s="6" t="s">
        <v>42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5" t="str">
        <f t="shared" si="1"/>
        <v>Pending</v>
      </c>
      <c r="O275" s="2" t="s">
        <v>24</v>
      </c>
    </row>
    <row r="276" spans="1:15" ht="24" customHeight="1" x14ac:dyDescent="0.25">
      <c r="A276" s="2">
        <v>275</v>
      </c>
      <c r="B276" s="2" t="s">
        <v>1141</v>
      </c>
      <c r="C276" s="2" t="s">
        <v>1142</v>
      </c>
      <c r="D276" s="2" t="s">
        <v>1157</v>
      </c>
      <c r="E276" s="2" t="s">
        <v>1158</v>
      </c>
      <c r="F276" s="2" t="s">
        <v>1159</v>
      </c>
      <c r="G276" s="2" t="s">
        <v>1160</v>
      </c>
      <c r="H276" s="7" t="s">
        <v>61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5" t="str">
        <f t="shared" si="1"/>
        <v>Pending</v>
      </c>
      <c r="O276" s="2" t="s">
        <v>24</v>
      </c>
    </row>
    <row r="277" spans="1:15" ht="24" customHeight="1" x14ac:dyDescent="0.25">
      <c r="A277" s="2">
        <v>276</v>
      </c>
      <c r="B277" s="2" t="s">
        <v>1141</v>
      </c>
      <c r="C277" s="2" t="s">
        <v>1142</v>
      </c>
      <c r="D277" s="2" t="s">
        <v>1161</v>
      </c>
      <c r="E277" s="2" t="s">
        <v>1162</v>
      </c>
      <c r="F277" s="2" t="s">
        <v>1163</v>
      </c>
      <c r="G277" s="2" t="s">
        <v>1164</v>
      </c>
      <c r="H277" s="2" t="s">
        <v>220</v>
      </c>
      <c r="I277" s="4" t="s">
        <v>22</v>
      </c>
      <c r="J277" s="4" t="s">
        <v>23</v>
      </c>
      <c r="K277" s="4" t="s">
        <v>23</v>
      </c>
      <c r="L277" s="4" t="s">
        <v>23</v>
      </c>
      <c r="M277" s="4" t="s">
        <v>23</v>
      </c>
      <c r="N277" s="5" t="str">
        <f t="shared" si="1"/>
        <v>In Progress</v>
      </c>
      <c r="O277" s="2" t="s">
        <v>1165</v>
      </c>
    </row>
    <row r="278" spans="1:15" ht="24" customHeight="1" x14ac:dyDescent="0.25">
      <c r="A278" s="2">
        <v>277</v>
      </c>
      <c r="B278" s="2" t="s">
        <v>1141</v>
      </c>
      <c r="C278" s="2" t="s">
        <v>1142</v>
      </c>
      <c r="D278" s="2" t="s">
        <v>1166</v>
      </c>
      <c r="E278" s="2" t="s">
        <v>1167</v>
      </c>
      <c r="F278" s="2" t="s">
        <v>1168</v>
      </c>
      <c r="G278" s="2" t="s">
        <v>1169</v>
      </c>
      <c r="H278" s="3" t="s">
        <v>21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5" t="str">
        <f t="shared" si="1"/>
        <v>Pending</v>
      </c>
      <c r="O278" s="2" t="s">
        <v>24</v>
      </c>
    </row>
    <row r="279" spans="1:15" ht="24" customHeight="1" x14ac:dyDescent="0.25">
      <c r="A279" s="2">
        <v>278</v>
      </c>
      <c r="B279" s="2" t="s">
        <v>1141</v>
      </c>
      <c r="C279" s="2" t="s">
        <v>1170</v>
      </c>
      <c r="D279" s="2" t="s">
        <v>1171</v>
      </c>
      <c r="E279" s="2" t="s">
        <v>1172</v>
      </c>
      <c r="F279" s="2" t="s">
        <v>1173</v>
      </c>
      <c r="G279" s="2" t="s">
        <v>1174</v>
      </c>
      <c r="H279" s="7" t="s">
        <v>61</v>
      </c>
      <c r="I279" s="4" t="s">
        <v>22</v>
      </c>
      <c r="J279" s="4" t="s">
        <v>23</v>
      </c>
      <c r="K279" s="4" t="s">
        <v>23</v>
      </c>
      <c r="L279" s="4" t="s">
        <v>23</v>
      </c>
      <c r="M279" s="4" t="s">
        <v>23</v>
      </c>
      <c r="N279" s="5" t="str">
        <f t="shared" si="1"/>
        <v>In Progress</v>
      </c>
      <c r="O279" s="2"/>
    </row>
    <row r="280" spans="1:15" ht="24" customHeight="1" x14ac:dyDescent="0.25">
      <c r="A280" s="2">
        <v>279</v>
      </c>
      <c r="B280" s="2" t="s">
        <v>1141</v>
      </c>
      <c r="C280" s="2" t="s">
        <v>1170</v>
      </c>
      <c r="D280" s="2" t="s">
        <v>1175</v>
      </c>
      <c r="E280" s="2" t="s">
        <v>1176</v>
      </c>
      <c r="F280" s="2" t="s">
        <v>1177</v>
      </c>
      <c r="G280" s="2" t="s">
        <v>1178</v>
      </c>
      <c r="H280" s="6" t="s">
        <v>42</v>
      </c>
      <c r="I280" s="4" t="s">
        <v>22</v>
      </c>
      <c r="J280" s="4" t="s">
        <v>23</v>
      </c>
      <c r="K280" s="4" t="s">
        <v>23</v>
      </c>
      <c r="L280" s="4" t="s">
        <v>23</v>
      </c>
      <c r="M280" s="4" t="s">
        <v>23</v>
      </c>
      <c r="N280" s="5" t="str">
        <f t="shared" si="1"/>
        <v>In Progress</v>
      </c>
      <c r="O280" s="2"/>
    </row>
    <row r="281" spans="1:15" ht="24" customHeight="1" x14ac:dyDescent="0.25">
      <c r="A281" s="2">
        <v>280</v>
      </c>
      <c r="B281" s="2" t="s">
        <v>1141</v>
      </c>
      <c r="C281" s="2" t="s">
        <v>1170</v>
      </c>
      <c r="D281" s="2" t="s">
        <v>1179</v>
      </c>
      <c r="E281" s="2" t="s">
        <v>1180</v>
      </c>
      <c r="F281" s="2" t="s">
        <v>1181</v>
      </c>
      <c r="G281" s="2" t="s">
        <v>1182</v>
      </c>
      <c r="H281" s="7" t="s">
        <v>61</v>
      </c>
      <c r="I281" s="4" t="s">
        <v>22</v>
      </c>
      <c r="J281" s="4" t="s">
        <v>23</v>
      </c>
      <c r="K281" s="4" t="s">
        <v>23</v>
      </c>
      <c r="L281" s="4" t="s">
        <v>23</v>
      </c>
      <c r="M281" s="4" t="s">
        <v>23</v>
      </c>
      <c r="N281" s="5" t="str">
        <f t="shared" si="1"/>
        <v>In Progress</v>
      </c>
      <c r="O281" s="2" t="s">
        <v>1183</v>
      </c>
    </row>
    <row r="282" spans="1:15" ht="24" customHeight="1" x14ac:dyDescent="0.25">
      <c r="A282" s="2">
        <v>281</v>
      </c>
      <c r="B282" s="2" t="s">
        <v>1141</v>
      </c>
      <c r="C282" s="2" t="s">
        <v>1170</v>
      </c>
      <c r="D282" s="2" t="s">
        <v>1184</v>
      </c>
      <c r="E282" s="2" t="s">
        <v>1185</v>
      </c>
      <c r="F282" s="2" t="s">
        <v>1186</v>
      </c>
      <c r="G282" s="2" t="s">
        <v>1187</v>
      </c>
      <c r="H282" s="7" t="s">
        <v>61</v>
      </c>
      <c r="I282" s="4" t="s">
        <v>22</v>
      </c>
      <c r="J282" s="4" t="s">
        <v>23</v>
      </c>
      <c r="K282" s="4" t="s">
        <v>23</v>
      </c>
      <c r="L282" s="4" t="s">
        <v>23</v>
      </c>
      <c r="M282" s="4" t="s">
        <v>23</v>
      </c>
      <c r="N282" s="5" t="str">
        <f t="shared" si="1"/>
        <v>In Progress</v>
      </c>
      <c r="O282" s="2" t="s">
        <v>24</v>
      </c>
    </row>
    <row r="283" spans="1:15" ht="24" customHeight="1" x14ac:dyDescent="0.25">
      <c r="A283" s="2">
        <v>282</v>
      </c>
      <c r="B283" s="2" t="s">
        <v>1141</v>
      </c>
      <c r="C283" s="2" t="s">
        <v>1170</v>
      </c>
      <c r="D283" s="2" t="s">
        <v>1188</v>
      </c>
      <c r="E283" s="2" t="s">
        <v>1189</v>
      </c>
      <c r="F283" s="2" t="s">
        <v>1190</v>
      </c>
      <c r="G283" s="2" t="s">
        <v>1191</v>
      </c>
      <c r="H283" s="7" t="s">
        <v>61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5" t="str">
        <f t="shared" si="1"/>
        <v>Pending</v>
      </c>
      <c r="O283" s="2" t="s">
        <v>1192</v>
      </c>
    </row>
    <row r="284" spans="1:15" ht="24" customHeight="1" x14ac:dyDescent="0.25">
      <c r="A284" s="2">
        <v>283</v>
      </c>
      <c r="B284" s="2" t="s">
        <v>1141</v>
      </c>
      <c r="C284" s="2" t="s">
        <v>1170</v>
      </c>
      <c r="D284" s="2" t="s">
        <v>1193</v>
      </c>
      <c r="E284" s="2" t="s">
        <v>1194</v>
      </c>
      <c r="F284" s="2" t="s">
        <v>1195</v>
      </c>
      <c r="G284" s="2" t="s">
        <v>1196</v>
      </c>
      <c r="H284" s="7" t="s">
        <v>61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5" t="str">
        <f t="shared" si="1"/>
        <v>Pending</v>
      </c>
      <c r="O284" s="2" t="s">
        <v>1192</v>
      </c>
    </row>
    <row r="285" spans="1:15" ht="24" customHeight="1" x14ac:dyDescent="0.25">
      <c r="A285" s="2">
        <v>284</v>
      </c>
      <c r="B285" s="2" t="s">
        <v>1141</v>
      </c>
      <c r="C285" s="2" t="s">
        <v>1170</v>
      </c>
      <c r="D285" s="2" t="s">
        <v>1197</v>
      </c>
      <c r="E285" s="2" t="s">
        <v>1198</v>
      </c>
      <c r="F285" s="2" t="s">
        <v>1199</v>
      </c>
      <c r="G285" s="2" t="s">
        <v>1200</v>
      </c>
      <c r="H285" s="7" t="s">
        <v>61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5" t="str">
        <f t="shared" si="1"/>
        <v>Pending</v>
      </c>
      <c r="O285" s="2" t="s">
        <v>1201</v>
      </c>
    </row>
    <row r="286" spans="1:15" ht="24" customHeight="1" x14ac:dyDescent="0.25">
      <c r="A286" s="2">
        <v>285</v>
      </c>
      <c r="B286" s="2" t="s">
        <v>1141</v>
      </c>
      <c r="C286" s="2" t="s">
        <v>1170</v>
      </c>
      <c r="D286" s="2" t="s">
        <v>1202</v>
      </c>
      <c r="E286" s="2" t="s">
        <v>1203</v>
      </c>
      <c r="F286" s="2" t="s">
        <v>1204</v>
      </c>
      <c r="G286" s="2" t="s">
        <v>1205</v>
      </c>
      <c r="H286" s="6" t="s">
        <v>42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5" t="str">
        <f t="shared" si="1"/>
        <v>Pending</v>
      </c>
      <c r="O286" s="2" t="s">
        <v>1201</v>
      </c>
    </row>
    <row r="287" spans="1:15" ht="24" customHeight="1" x14ac:dyDescent="0.25">
      <c r="A287" s="2">
        <v>286</v>
      </c>
      <c r="B287" s="2" t="s">
        <v>1141</v>
      </c>
      <c r="C287" s="2" t="s">
        <v>1206</v>
      </c>
      <c r="D287" s="2" t="s">
        <v>1207</v>
      </c>
      <c r="E287" s="2" t="s">
        <v>1208</v>
      </c>
      <c r="F287" s="2" t="s">
        <v>1209</v>
      </c>
      <c r="G287" s="2" t="s">
        <v>1210</v>
      </c>
      <c r="H287" s="6" t="s">
        <v>42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5" t="str">
        <f t="shared" si="1"/>
        <v>Pending</v>
      </c>
      <c r="O287" s="2" t="s">
        <v>24</v>
      </c>
    </row>
    <row r="288" spans="1:15" ht="24" customHeight="1" x14ac:dyDescent="0.25">
      <c r="A288" s="2">
        <v>287</v>
      </c>
      <c r="B288" s="2" t="s">
        <v>1141</v>
      </c>
      <c r="C288" s="2" t="s">
        <v>1206</v>
      </c>
      <c r="D288" s="2" t="s">
        <v>1211</v>
      </c>
      <c r="E288" s="2" t="s">
        <v>1212</v>
      </c>
      <c r="F288" s="2" t="s">
        <v>1213</v>
      </c>
      <c r="G288" s="2" t="s">
        <v>1214</v>
      </c>
      <c r="H288" s="6" t="s">
        <v>42</v>
      </c>
      <c r="I288" s="4" t="s">
        <v>22</v>
      </c>
      <c r="J288" s="4" t="s">
        <v>23</v>
      </c>
      <c r="K288" s="4" t="s">
        <v>23</v>
      </c>
      <c r="L288" s="4" t="s">
        <v>23</v>
      </c>
      <c r="M288" s="4" t="s">
        <v>23</v>
      </c>
      <c r="N288" s="5" t="str">
        <f t="shared" si="1"/>
        <v>In Progress</v>
      </c>
      <c r="O288" s="2" t="s">
        <v>1215</v>
      </c>
    </row>
    <row r="289" spans="1:15" ht="24" customHeight="1" x14ac:dyDescent="0.25">
      <c r="A289" s="2">
        <v>288</v>
      </c>
      <c r="B289" s="2" t="s">
        <v>1141</v>
      </c>
      <c r="C289" s="2" t="s">
        <v>1206</v>
      </c>
      <c r="D289" s="2" t="s">
        <v>1216</v>
      </c>
      <c r="E289" s="2" t="s">
        <v>1217</v>
      </c>
      <c r="F289" s="2" t="s">
        <v>1218</v>
      </c>
      <c r="G289" s="2" t="s">
        <v>1219</v>
      </c>
      <c r="H289" s="7" t="s">
        <v>61</v>
      </c>
      <c r="I289" s="4" t="s">
        <v>22</v>
      </c>
      <c r="J289" s="4" t="s">
        <v>23</v>
      </c>
      <c r="K289" s="4" t="s">
        <v>23</v>
      </c>
      <c r="L289" s="4" t="s">
        <v>23</v>
      </c>
      <c r="M289" s="4" t="s">
        <v>23</v>
      </c>
      <c r="N289" s="5" t="str">
        <f t="shared" si="1"/>
        <v>In Progress</v>
      </c>
      <c r="O289" s="2" t="s">
        <v>1220</v>
      </c>
    </row>
    <row r="290" spans="1:15" ht="24" customHeight="1" x14ac:dyDescent="0.25">
      <c r="A290" s="2">
        <v>289</v>
      </c>
      <c r="B290" s="2" t="s">
        <v>1141</v>
      </c>
      <c r="C290" s="2" t="s">
        <v>1221</v>
      </c>
      <c r="D290" s="2" t="s">
        <v>1222</v>
      </c>
      <c r="E290" s="2" t="s">
        <v>1223</v>
      </c>
      <c r="F290" s="2" t="s">
        <v>1224</v>
      </c>
      <c r="G290" s="2" t="s">
        <v>1225</v>
      </c>
      <c r="H290" s="6" t="s">
        <v>42</v>
      </c>
      <c r="I290" s="4" t="s">
        <v>22</v>
      </c>
      <c r="J290" s="4" t="s">
        <v>23</v>
      </c>
      <c r="K290" s="4" t="s">
        <v>23</v>
      </c>
      <c r="L290" s="4" t="s">
        <v>23</v>
      </c>
      <c r="M290" s="4" t="s">
        <v>23</v>
      </c>
      <c r="N290" s="5" t="str">
        <f t="shared" si="1"/>
        <v>In Progress</v>
      </c>
      <c r="O290" s="2" t="s">
        <v>1226</v>
      </c>
    </row>
    <row r="291" spans="1:15" ht="24" customHeight="1" x14ac:dyDescent="0.25">
      <c r="A291" s="2">
        <v>290</v>
      </c>
      <c r="B291" s="2" t="s">
        <v>1141</v>
      </c>
      <c r="C291" s="2" t="s">
        <v>1221</v>
      </c>
      <c r="D291" s="2" t="s">
        <v>1227</v>
      </c>
      <c r="E291" s="2" t="s">
        <v>1228</v>
      </c>
      <c r="F291" s="2" t="s">
        <v>1229</v>
      </c>
      <c r="G291" s="2" t="s">
        <v>1230</v>
      </c>
      <c r="H291" s="6" t="s">
        <v>42</v>
      </c>
      <c r="I291" s="4" t="s">
        <v>22</v>
      </c>
      <c r="J291" s="4" t="s">
        <v>23</v>
      </c>
      <c r="K291" s="4" t="s">
        <v>23</v>
      </c>
      <c r="L291" s="4" t="s">
        <v>23</v>
      </c>
      <c r="M291" s="4" t="s">
        <v>23</v>
      </c>
      <c r="N291" s="5" t="str">
        <f t="shared" si="1"/>
        <v>In Progress</v>
      </c>
      <c r="O291" s="2" t="s">
        <v>1231</v>
      </c>
    </row>
    <row r="292" spans="1:15" ht="24" customHeight="1" x14ac:dyDescent="0.25">
      <c r="A292" s="2">
        <v>291</v>
      </c>
      <c r="B292" s="2" t="s">
        <v>1141</v>
      </c>
      <c r="C292" s="2" t="s">
        <v>1221</v>
      </c>
      <c r="D292" s="2" t="s">
        <v>1232</v>
      </c>
      <c r="E292" s="2" t="s">
        <v>1233</v>
      </c>
      <c r="F292" s="2" t="s">
        <v>1234</v>
      </c>
      <c r="G292" s="2" t="s">
        <v>1235</v>
      </c>
      <c r="H292" s="6" t="s">
        <v>42</v>
      </c>
      <c r="I292" s="4" t="s">
        <v>22</v>
      </c>
      <c r="J292" s="4" t="s">
        <v>23</v>
      </c>
      <c r="K292" s="4" t="s">
        <v>23</v>
      </c>
      <c r="L292" s="4" t="s">
        <v>23</v>
      </c>
      <c r="M292" s="4" t="s">
        <v>23</v>
      </c>
      <c r="N292" s="5" t="str">
        <f t="shared" si="1"/>
        <v>In Progress</v>
      </c>
      <c r="O292" s="2" t="s">
        <v>1231</v>
      </c>
    </row>
    <row r="293" spans="1:15" ht="24" customHeight="1" x14ac:dyDescent="0.25">
      <c r="A293" s="2">
        <v>292</v>
      </c>
      <c r="B293" s="2" t="s">
        <v>1141</v>
      </c>
      <c r="C293" s="2" t="s">
        <v>1221</v>
      </c>
      <c r="D293" s="2" t="s">
        <v>1236</v>
      </c>
      <c r="E293" s="2" t="s">
        <v>1237</v>
      </c>
      <c r="F293" s="2" t="s">
        <v>1238</v>
      </c>
      <c r="G293" s="2" t="s">
        <v>1239</v>
      </c>
      <c r="H293" s="2" t="s">
        <v>220</v>
      </c>
      <c r="I293" s="4" t="s">
        <v>23</v>
      </c>
      <c r="J293" s="4" t="s">
        <v>23</v>
      </c>
      <c r="K293" s="4" t="s">
        <v>23</v>
      </c>
      <c r="L293" s="4" t="s">
        <v>23</v>
      </c>
      <c r="M293" s="4" t="s">
        <v>23</v>
      </c>
      <c r="N293" s="5" t="str">
        <f t="shared" si="1"/>
        <v>Pending</v>
      </c>
      <c r="O293" s="2" t="s">
        <v>1231</v>
      </c>
    </row>
    <row r="294" spans="1:15" ht="24" customHeight="1" x14ac:dyDescent="0.25">
      <c r="A294" s="2">
        <v>293</v>
      </c>
      <c r="B294" s="2" t="s">
        <v>1141</v>
      </c>
      <c r="C294" s="2" t="s">
        <v>1221</v>
      </c>
      <c r="D294" s="2" t="s">
        <v>1240</v>
      </c>
      <c r="E294" s="2" t="s">
        <v>1241</v>
      </c>
      <c r="F294" s="2" t="s">
        <v>1242</v>
      </c>
      <c r="G294" s="2" t="s">
        <v>1243</v>
      </c>
      <c r="H294" s="3" t="s">
        <v>21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5" t="str">
        <f t="shared" si="1"/>
        <v>Pending</v>
      </c>
      <c r="O294" s="2" t="s">
        <v>1231</v>
      </c>
    </row>
    <row r="295" spans="1:15" ht="24" customHeight="1" x14ac:dyDescent="0.25">
      <c r="A295" s="2">
        <v>294</v>
      </c>
      <c r="B295" s="2" t="s">
        <v>1141</v>
      </c>
      <c r="C295" s="2" t="s">
        <v>1244</v>
      </c>
      <c r="D295" s="2" t="s">
        <v>1245</v>
      </c>
      <c r="E295" s="2" t="s">
        <v>1246</v>
      </c>
      <c r="F295" s="2" t="s">
        <v>1247</v>
      </c>
      <c r="G295" s="2" t="s">
        <v>1248</v>
      </c>
      <c r="H295" s="6" t="s">
        <v>42</v>
      </c>
      <c r="I295" s="4" t="s">
        <v>22</v>
      </c>
      <c r="J295" s="4" t="s">
        <v>23</v>
      </c>
      <c r="K295" s="4" t="s">
        <v>23</v>
      </c>
      <c r="L295" s="4" t="s">
        <v>23</v>
      </c>
      <c r="M295" s="4" t="s">
        <v>23</v>
      </c>
      <c r="N295" s="5" t="str">
        <f t="shared" si="1"/>
        <v>In Progress</v>
      </c>
      <c r="O295" s="2" t="s">
        <v>24</v>
      </c>
    </row>
    <row r="296" spans="1:15" ht="24" customHeight="1" x14ac:dyDescent="0.25">
      <c r="A296" s="2">
        <v>295</v>
      </c>
      <c r="B296" s="2" t="s">
        <v>1141</v>
      </c>
      <c r="C296" s="2" t="s">
        <v>1244</v>
      </c>
      <c r="D296" s="2" t="s">
        <v>1249</v>
      </c>
      <c r="E296" s="2" t="s">
        <v>1250</v>
      </c>
      <c r="F296" s="2" t="s">
        <v>1251</v>
      </c>
      <c r="G296" s="2" t="s">
        <v>1252</v>
      </c>
      <c r="H296" s="6" t="s">
        <v>42</v>
      </c>
      <c r="I296" s="4" t="s">
        <v>23</v>
      </c>
      <c r="J296" s="4" t="s">
        <v>23</v>
      </c>
      <c r="K296" s="4" t="s">
        <v>23</v>
      </c>
      <c r="L296" s="4" t="s">
        <v>23</v>
      </c>
      <c r="M296" s="4" t="s">
        <v>23</v>
      </c>
      <c r="N296" s="5" t="str">
        <f t="shared" si="1"/>
        <v>Pending</v>
      </c>
      <c r="O296" s="2" t="s">
        <v>1253</v>
      </c>
    </row>
    <row r="297" spans="1:15" ht="24" customHeight="1" x14ac:dyDescent="0.25">
      <c r="A297" s="2">
        <v>296</v>
      </c>
      <c r="B297" s="2" t="s">
        <v>1141</v>
      </c>
      <c r="C297" s="2" t="s">
        <v>1244</v>
      </c>
      <c r="D297" s="2" t="s">
        <v>1254</v>
      </c>
      <c r="E297" s="2" t="s">
        <v>1255</v>
      </c>
      <c r="F297" s="2" t="s">
        <v>1256</v>
      </c>
      <c r="G297" s="2" t="s">
        <v>1257</v>
      </c>
      <c r="H297" s="7" t="s">
        <v>61</v>
      </c>
      <c r="I297" s="4" t="s">
        <v>22</v>
      </c>
      <c r="J297" s="4" t="s">
        <v>23</v>
      </c>
      <c r="K297" s="4" t="s">
        <v>23</v>
      </c>
      <c r="L297" s="4" t="s">
        <v>23</v>
      </c>
      <c r="M297" s="4" t="s">
        <v>23</v>
      </c>
      <c r="N297" s="5" t="str">
        <f t="shared" si="1"/>
        <v>In Progress</v>
      </c>
      <c r="O297" s="2" t="s">
        <v>1253</v>
      </c>
    </row>
    <row r="298" spans="1:15" ht="24" customHeight="1" x14ac:dyDescent="0.25">
      <c r="A298" s="2">
        <v>297</v>
      </c>
      <c r="B298" s="2" t="s">
        <v>1141</v>
      </c>
      <c r="C298" s="2" t="s">
        <v>1244</v>
      </c>
      <c r="D298" s="2" t="s">
        <v>1258</v>
      </c>
      <c r="E298" s="2" t="s">
        <v>1259</v>
      </c>
      <c r="F298" s="2" t="s">
        <v>1260</v>
      </c>
      <c r="G298" s="2" t="s">
        <v>1261</v>
      </c>
      <c r="H298" s="3" t="s">
        <v>21</v>
      </c>
      <c r="I298" s="4" t="s">
        <v>22</v>
      </c>
      <c r="J298" s="4" t="s">
        <v>23</v>
      </c>
      <c r="K298" s="4" t="s">
        <v>23</v>
      </c>
      <c r="L298" s="4" t="s">
        <v>23</v>
      </c>
      <c r="M298" s="4" t="s">
        <v>23</v>
      </c>
      <c r="N298" s="5" t="str">
        <f t="shared" si="1"/>
        <v>In Progress</v>
      </c>
      <c r="O298" s="2" t="s">
        <v>24</v>
      </c>
    </row>
    <row r="299" spans="1:15" ht="24" customHeight="1" x14ac:dyDescent="0.25">
      <c r="A299" s="2">
        <v>298</v>
      </c>
      <c r="B299" s="2" t="s">
        <v>1141</v>
      </c>
      <c r="C299" s="2" t="s">
        <v>1244</v>
      </c>
      <c r="D299" s="2" t="s">
        <v>1262</v>
      </c>
      <c r="E299" s="2" t="s">
        <v>1263</v>
      </c>
      <c r="F299" s="2" t="s">
        <v>1264</v>
      </c>
      <c r="G299" s="2" t="s">
        <v>1265</v>
      </c>
      <c r="H299" s="6" t="s">
        <v>42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5" t="str">
        <f t="shared" si="1"/>
        <v>Pending</v>
      </c>
      <c r="O299" s="2" t="s">
        <v>24</v>
      </c>
    </row>
    <row r="300" spans="1:15" ht="24" customHeight="1" x14ac:dyDescent="0.25">
      <c r="A300" s="2">
        <v>299</v>
      </c>
      <c r="B300" s="2" t="s">
        <v>1141</v>
      </c>
      <c r="C300" s="2" t="s">
        <v>1244</v>
      </c>
      <c r="D300" s="2" t="s">
        <v>1266</v>
      </c>
      <c r="E300" s="2" t="s">
        <v>1267</v>
      </c>
      <c r="F300" s="2" t="s">
        <v>1268</v>
      </c>
      <c r="G300" s="2" t="s">
        <v>1269</v>
      </c>
      <c r="H300" s="6" t="s">
        <v>42</v>
      </c>
      <c r="I300" s="4" t="s">
        <v>23</v>
      </c>
      <c r="J300" s="4" t="s">
        <v>23</v>
      </c>
      <c r="K300" s="4" t="s">
        <v>23</v>
      </c>
      <c r="L300" s="4" t="s">
        <v>23</v>
      </c>
      <c r="M300" s="4" t="s">
        <v>23</v>
      </c>
      <c r="N300" s="5" t="str">
        <f t="shared" si="1"/>
        <v>Pending</v>
      </c>
      <c r="O300" s="2" t="s">
        <v>24</v>
      </c>
    </row>
    <row r="301" spans="1:15" ht="24" customHeight="1" x14ac:dyDescent="0.25">
      <c r="A301" s="2">
        <v>300</v>
      </c>
      <c r="B301" s="2" t="s">
        <v>1141</v>
      </c>
      <c r="C301" s="2" t="s">
        <v>1244</v>
      </c>
      <c r="D301" s="2" t="s">
        <v>1270</v>
      </c>
      <c r="E301" s="2" t="s">
        <v>1271</v>
      </c>
      <c r="F301" s="2" t="s">
        <v>1272</v>
      </c>
      <c r="G301" s="2" t="s">
        <v>1273</v>
      </c>
      <c r="H301" s="6" t="s">
        <v>42</v>
      </c>
      <c r="I301" s="4" t="s">
        <v>23</v>
      </c>
      <c r="J301" s="4" t="s">
        <v>23</v>
      </c>
      <c r="K301" s="4" t="s">
        <v>23</v>
      </c>
      <c r="L301" s="4" t="s">
        <v>23</v>
      </c>
      <c r="M301" s="4" t="s">
        <v>23</v>
      </c>
      <c r="N301" s="5" t="str">
        <f t="shared" si="1"/>
        <v>Pending</v>
      </c>
      <c r="O301" s="2" t="s">
        <v>24</v>
      </c>
    </row>
    <row r="302" spans="1:15" ht="24" customHeight="1" x14ac:dyDescent="0.25">
      <c r="A302" s="2">
        <v>301</v>
      </c>
      <c r="B302" s="2" t="s">
        <v>1141</v>
      </c>
      <c r="C302" s="2" t="s">
        <v>1244</v>
      </c>
      <c r="D302" s="2" t="s">
        <v>1274</v>
      </c>
      <c r="E302" s="2" t="s">
        <v>1275</v>
      </c>
      <c r="F302" s="2" t="s">
        <v>1276</v>
      </c>
      <c r="G302" s="2" t="s">
        <v>1277</v>
      </c>
      <c r="H302" s="7" t="s">
        <v>61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5" t="str">
        <f t="shared" si="1"/>
        <v>Pending</v>
      </c>
      <c r="O302" s="2" t="s">
        <v>1278</v>
      </c>
    </row>
    <row r="303" spans="1:15" ht="24" customHeight="1" x14ac:dyDescent="0.25">
      <c r="A303" s="2">
        <v>302</v>
      </c>
      <c r="B303" s="2" t="s">
        <v>1279</v>
      </c>
      <c r="C303" s="2" t="s">
        <v>1280</v>
      </c>
      <c r="D303" s="2" t="s">
        <v>1281</v>
      </c>
      <c r="E303" s="2" t="s">
        <v>1282</v>
      </c>
      <c r="F303" s="2" t="s">
        <v>1283</v>
      </c>
      <c r="G303" s="2" t="s">
        <v>1284</v>
      </c>
      <c r="H303" s="3" t="s">
        <v>21</v>
      </c>
      <c r="I303" s="4" t="s">
        <v>23</v>
      </c>
      <c r="J303" s="4" t="s">
        <v>23</v>
      </c>
      <c r="K303" s="4" t="s">
        <v>23</v>
      </c>
      <c r="L303" s="4" t="s">
        <v>23</v>
      </c>
      <c r="M303" s="4" t="s">
        <v>23</v>
      </c>
      <c r="N303" s="5" t="str">
        <f t="shared" si="1"/>
        <v>Pending</v>
      </c>
      <c r="O303" s="2" t="s">
        <v>24</v>
      </c>
    </row>
    <row r="304" spans="1:15" ht="24" customHeight="1" x14ac:dyDescent="0.25">
      <c r="A304" s="2">
        <v>303</v>
      </c>
      <c r="B304" s="2" t="s">
        <v>1279</v>
      </c>
      <c r="C304" s="2" t="s">
        <v>1280</v>
      </c>
      <c r="D304" s="2" t="s">
        <v>1285</v>
      </c>
      <c r="E304" s="2" t="s">
        <v>1286</v>
      </c>
      <c r="F304" s="2" t="s">
        <v>1287</v>
      </c>
      <c r="G304" s="2" t="s">
        <v>1288</v>
      </c>
      <c r="H304" s="3" t="s">
        <v>21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5" t="str">
        <f t="shared" si="1"/>
        <v>Pending</v>
      </c>
      <c r="O304" s="2" t="s">
        <v>24</v>
      </c>
    </row>
    <row r="305" spans="1:15" ht="24" customHeight="1" x14ac:dyDescent="0.25">
      <c r="A305" s="2">
        <v>304</v>
      </c>
      <c r="B305" s="2" t="s">
        <v>1279</v>
      </c>
      <c r="C305" s="2" t="s">
        <v>1280</v>
      </c>
      <c r="D305" s="2" t="s">
        <v>1289</v>
      </c>
      <c r="E305" s="2" t="s">
        <v>1290</v>
      </c>
      <c r="F305" s="2" t="s">
        <v>1291</v>
      </c>
      <c r="G305" s="2" t="s">
        <v>1292</v>
      </c>
      <c r="H305" s="6" t="s">
        <v>42</v>
      </c>
      <c r="I305" s="4" t="s">
        <v>23</v>
      </c>
      <c r="J305" s="4" t="s">
        <v>23</v>
      </c>
      <c r="K305" s="4" t="s">
        <v>23</v>
      </c>
      <c r="L305" s="4" t="s">
        <v>23</v>
      </c>
      <c r="M305" s="4" t="s">
        <v>23</v>
      </c>
      <c r="N305" s="5" t="str">
        <f t="shared" si="1"/>
        <v>Pending</v>
      </c>
      <c r="O305" s="2" t="s">
        <v>1072</v>
      </c>
    </row>
    <row r="306" spans="1:15" ht="24" customHeight="1" x14ac:dyDescent="0.25">
      <c r="A306" s="2">
        <v>305</v>
      </c>
      <c r="B306" s="2" t="s">
        <v>1279</v>
      </c>
      <c r="C306" s="2" t="s">
        <v>1280</v>
      </c>
      <c r="D306" s="2" t="s">
        <v>1293</v>
      </c>
      <c r="E306" s="2" t="s">
        <v>1294</v>
      </c>
      <c r="F306" s="2" t="s">
        <v>1295</v>
      </c>
      <c r="G306" s="2" t="s">
        <v>1296</v>
      </c>
      <c r="H306" s="6" t="s">
        <v>42</v>
      </c>
      <c r="I306" s="4" t="s">
        <v>22</v>
      </c>
      <c r="J306" s="4" t="s">
        <v>23</v>
      </c>
      <c r="K306" s="4" t="s">
        <v>23</v>
      </c>
      <c r="L306" s="4" t="s">
        <v>23</v>
      </c>
      <c r="M306" s="4" t="s">
        <v>23</v>
      </c>
      <c r="N306" s="5" t="str">
        <f t="shared" si="1"/>
        <v>In Progress</v>
      </c>
      <c r="O306" s="2" t="s">
        <v>24</v>
      </c>
    </row>
    <row r="307" spans="1:15" ht="24" customHeight="1" x14ac:dyDescent="0.25">
      <c r="A307" s="2">
        <v>306</v>
      </c>
      <c r="B307" s="2" t="s">
        <v>1279</v>
      </c>
      <c r="C307" s="2" t="s">
        <v>1280</v>
      </c>
      <c r="D307" s="2" t="s">
        <v>1297</v>
      </c>
      <c r="E307" s="2" t="s">
        <v>1298</v>
      </c>
      <c r="F307" s="2" t="s">
        <v>1299</v>
      </c>
      <c r="G307" s="2" t="s">
        <v>1300</v>
      </c>
      <c r="H307" s="7" t="s">
        <v>61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5" t="str">
        <f t="shared" si="1"/>
        <v>Pending</v>
      </c>
      <c r="O307" s="2" t="s">
        <v>24</v>
      </c>
    </row>
    <row r="308" spans="1:15" ht="24" customHeight="1" x14ac:dyDescent="0.25">
      <c r="A308" s="2">
        <v>307</v>
      </c>
      <c r="B308" s="2" t="s">
        <v>1279</v>
      </c>
      <c r="C308" s="2" t="s">
        <v>1280</v>
      </c>
      <c r="D308" s="2" t="s">
        <v>1301</v>
      </c>
      <c r="E308" s="2" t="s">
        <v>1302</v>
      </c>
      <c r="F308" s="2" t="s">
        <v>1303</v>
      </c>
      <c r="G308" s="2" t="s">
        <v>1304</v>
      </c>
      <c r="H308" s="7" t="s">
        <v>61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5" t="str">
        <f t="shared" si="1"/>
        <v>Pending</v>
      </c>
      <c r="O308" s="2" t="s">
        <v>1072</v>
      </c>
    </row>
    <row r="309" spans="1:15" ht="24" customHeight="1" x14ac:dyDescent="0.25">
      <c r="A309" s="2">
        <v>308</v>
      </c>
      <c r="B309" s="2" t="s">
        <v>1279</v>
      </c>
      <c r="C309" s="2" t="s">
        <v>1280</v>
      </c>
      <c r="D309" s="2" t="s">
        <v>1305</v>
      </c>
      <c r="E309" s="2" t="s">
        <v>1306</v>
      </c>
      <c r="F309" s="2" t="s">
        <v>1307</v>
      </c>
      <c r="G309" s="2" t="s">
        <v>1308</v>
      </c>
      <c r="H309" s="2" t="s">
        <v>220</v>
      </c>
      <c r="I309" s="4" t="s">
        <v>22</v>
      </c>
      <c r="J309" s="4" t="s">
        <v>23</v>
      </c>
      <c r="K309" s="4" t="s">
        <v>23</v>
      </c>
      <c r="L309" s="4" t="s">
        <v>23</v>
      </c>
      <c r="M309" s="4" t="s">
        <v>23</v>
      </c>
      <c r="N309" s="5" t="str">
        <f t="shared" si="1"/>
        <v>In Progress</v>
      </c>
      <c r="O309" s="2" t="s">
        <v>24</v>
      </c>
    </row>
    <row r="310" spans="1:15" ht="24" customHeight="1" x14ac:dyDescent="0.25">
      <c r="A310" s="2">
        <v>309</v>
      </c>
      <c r="B310" s="2" t="s">
        <v>1279</v>
      </c>
      <c r="C310" s="2" t="s">
        <v>1280</v>
      </c>
      <c r="D310" s="2" t="s">
        <v>1309</v>
      </c>
      <c r="E310" s="2" t="s">
        <v>1310</v>
      </c>
      <c r="F310" s="2" t="s">
        <v>1311</v>
      </c>
      <c r="G310" s="2" t="s">
        <v>1312</v>
      </c>
      <c r="H310" s="7" t="s">
        <v>61</v>
      </c>
      <c r="I310" s="4" t="s">
        <v>22</v>
      </c>
      <c r="J310" s="4" t="s">
        <v>23</v>
      </c>
      <c r="K310" s="4" t="s">
        <v>23</v>
      </c>
      <c r="L310" s="4" t="s">
        <v>23</v>
      </c>
      <c r="M310" s="4" t="s">
        <v>23</v>
      </c>
      <c r="N310" s="5" t="str">
        <f t="shared" si="1"/>
        <v>In Progress</v>
      </c>
      <c r="O310" s="2"/>
    </row>
    <row r="311" spans="1:15" ht="24" customHeight="1" x14ac:dyDescent="0.25">
      <c r="A311" s="2">
        <v>310</v>
      </c>
      <c r="B311" s="2" t="s">
        <v>1279</v>
      </c>
      <c r="C311" s="2" t="s">
        <v>1313</v>
      </c>
      <c r="D311" s="2" t="s">
        <v>1314</v>
      </c>
      <c r="E311" s="2" t="s">
        <v>1315</v>
      </c>
      <c r="F311" s="2" t="s">
        <v>1316</v>
      </c>
      <c r="G311" s="2" t="s">
        <v>1317</v>
      </c>
      <c r="H311" s="6" t="s">
        <v>42</v>
      </c>
      <c r="I311" s="4" t="s">
        <v>22</v>
      </c>
      <c r="J311" s="4" t="s">
        <v>23</v>
      </c>
      <c r="K311" s="4" t="s">
        <v>23</v>
      </c>
      <c r="L311" s="4" t="s">
        <v>23</v>
      </c>
      <c r="M311" s="4" t="s">
        <v>23</v>
      </c>
      <c r="N311" s="5" t="str">
        <f t="shared" si="1"/>
        <v>In Progress</v>
      </c>
      <c r="O311" s="2" t="s">
        <v>24</v>
      </c>
    </row>
    <row r="312" spans="1:15" ht="24" customHeight="1" x14ac:dyDescent="0.25">
      <c r="A312" s="2">
        <v>311</v>
      </c>
      <c r="B312" s="2" t="s">
        <v>1279</v>
      </c>
      <c r="C312" s="2" t="s">
        <v>1313</v>
      </c>
      <c r="D312" s="2" t="s">
        <v>1318</v>
      </c>
      <c r="E312" s="2" t="s">
        <v>1319</v>
      </c>
      <c r="F312" s="2" t="s">
        <v>1320</v>
      </c>
      <c r="G312" s="2" t="s">
        <v>1321</v>
      </c>
      <c r="H312" s="6" t="s">
        <v>42</v>
      </c>
      <c r="I312" s="4" t="s">
        <v>22</v>
      </c>
      <c r="J312" s="4" t="s">
        <v>23</v>
      </c>
      <c r="K312" s="4" t="s">
        <v>23</v>
      </c>
      <c r="L312" s="4" t="s">
        <v>23</v>
      </c>
      <c r="M312" s="4" t="s">
        <v>23</v>
      </c>
      <c r="N312" s="5" t="str">
        <f t="shared" si="1"/>
        <v>In Progress</v>
      </c>
      <c r="O312" s="2" t="s">
        <v>24</v>
      </c>
    </row>
    <row r="313" spans="1:15" ht="24" customHeight="1" x14ac:dyDescent="0.25">
      <c r="A313" s="2">
        <v>312</v>
      </c>
      <c r="B313" s="2" t="s">
        <v>1279</v>
      </c>
      <c r="C313" s="2" t="s">
        <v>1313</v>
      </c>
      <c r="D313" s="2" t="s">
        <v>1322</v>
      </c>
      <c r="E313" s="2" t="s">
        <v>1323</v>
      </c>
      <c r="F313" s="2" t="s">
        <v>1324</v>
      </c>
      <c r="G313" s="2" t="s">
        <v>1325</v>
      </c>
      <c r="H313" s="7" t="s">
        <v>61</v>
      </c>
      <c r="I313" s="4" t="s">
        <v>23</v>
      </c>
      <c r="J313" s="4" t="s">
        <v>23</v>
      </c>
      <c r="K313" s="4" t="s">
        <v>23</v>
      </c>
      <c r="L313" s="4" t="s">
        <v>23</v>
      </c>
      <c r="M313" s="4" t="s">
        <v>23</v>
      </c>
      <c r="N313" s="5" t="str">
        <f t="shared" si="1"/>
        <v>Pending</v>
      </c>
      <c r="O313" s="2" t="s">
        <v>24</v>
      </c>
    </row>
    <row r="314" spans="1:15" ht="24" customHeight="1" x14ac:dyDescent="0.25">
      <c r="A314" s="2">
        <v>313</v>
      </c>
      <c r="B314" s="2" t="s">
        <v>1279</v>
      </c>
      <c r="C314" s="2" t="s">
        <v>1326</v>
      </c>
      <c r="D314" s="2" t="s">
        <v>1327</v>
      </c>
      <c r="E314" s="2" t="s">
        <v>1328</v>
      </c>
      <c r="F314" s="2" t="s">
        <v>1329</v>
      </c>
      <c r="G314" s="2" t="s">
        <v>1330</v>
      </c>
      <c r="H314" s="3" t="s">
        <v>21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5" t="str">
        <f t="shared" si="1"/>
        <v>Pending</v>
      </c>
      <c r="O314" s="2" t="s">
        <v>24</v>
      </c>
    </row>
    <row r="315" spans="1:15" ht="24" customHeight="1" x14ac:dyDescent="0.25">
      <c r="A315" s="2">
        <v>314</v>
      </c>
      <c r="B315" s="2" t="s">
        <v>1279</v>
      </c>
      <c r="C315" s="2" t="s">
        <v>1326</v>
      </c>
      <c r="D315" s="2" t="s">
        <v>1331</v>
      </c>
      <c r="E315" s="2" t="s">
        <v>1332</v>
      </c>
      <c r="F315" s="2" t="s">
        <v>1333</v>
      </c>
      <c r="G315" s="2" t="s">
        <v>1334</v>
      </c>
      <c r="H315" s="6" t="s">
        <v>42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5" t="str">
        <f t="shared" si="1"/>
        <v>Pending</v>
      </c>
      <c r="O315" s="2" t="s">
        <v>24</v>
      </c>
    </row>
    <row r="316" spans="1:15" ht="24" customHeight="1" x14ac:dyDescent="0.25">
      <c r="A316" s="2">
        <v>315</v>
      </c>
      <c r="B316" s="2" t="s">
        <v>1279</v>
      </c>
      <c r="C316" s="2" t="s">
        <v>1326</v>
      </c>
      <c r="D316" s="2" t="s">
        <v>1335</v>
      </c>
      <c r="E316" s="2" t="s">
        <v>1336</v>
      </c>
      <c r="F316" s="2" t="s">
        <v>1337</v>
      </c>
      <c r="G316" s="2" t="s">
        <v>1338</v>
      </c>
      <c r="H316" s="6" t="s">
        <v>42</v>
      </c>
      <c r="I316" s="4" t="s">
        <v>22</v>
      </c>
      <c r="J316" s="4" t="s">
        <v>23</v>
      </c>
      <c r="K316" s="4" t="s">
        <v>23</v>
      </c>
      <c r="L316" s="4" t="s">
        <v>23</v>
      </c>
      <c r="M316" s="4" t="s">
        <v>23</v>
      </c>
      <c r="N316" s="5" t="str">
        <f t="shared" si="1"/>
        <v>In Progress</v>
      </c>
      <c r="O316" s="2" t="s">
        <v>24</v>
      </c>
    </row>
    <row r="317" spans="1:15" ht="24" customHeight="1" x14ac:dyDescent="0.25">
      <c r="A317" s="2">
        <v>316</v>
      </c>
      <c r="B317" s="2" t="s">
        <v>1279</v>
      </c>
      <c r="C317" s="2" t="s">
        <v>1326</v>
      </c>
      <c r="D317" s="2" t="s">
        <v>1339</v>
      </c>
      <c r="E317" s="2" t="s">
        <v>1340</v>
      </c>
      <c r="F317" s="2" t="s">
        <v>1341</v>
      </c>
      <c r="G317" s="2" t="s">
        <v>1342</v>
      </c>
      <c r="H317" s="6" t="s">
        <v>42</v>
      </c>
      <c r="I317" s="4" t="s">
        <v>23</v>
      </c>
      <c r="J317" s="4" t="s">
        <v>23</v>
      </c>
      <c r="K317" s="4" t="s">
        <v>23</v>
      </c>
      <c r="L317" s="4" t="s">
        <v>23</v>
      </c>
      <c r="M317" s="4" t="s">
        <v>23</v>
      </c>
      <c r="N317" s="5" t="str">
        <f t="shared" si="1"/>
        <v>Pending</v>
      </c>
      <c r="O317" s="2" t="s">
        <v>24</v>
      </c>
    </row>
    <row r="318" spans="1:15" ht="24" customHeight="1" x14ac:dyDescent="0.25">
      <c r="A318" s="2">
        <v>317</v>
      </c>
      <c r="B318" s="2" t="s">
        <v>1279</v>
      </c>
      <c r="C318" s="2" t="s">
        <v>1326</v>
      </c>
      <c r="D318" s="2" t="s">
        <v>1343</v>
      </c>
      <c r="E318" s="2" t="s">
        <v>1344</v>
      </c>
      <c r="F318" s="2" t="s">
        <v>1345</v>
      </c>
      <c r="G318" s="2" t="s">
        <v>1346</v>
      </c>
      <c r="H318" s="3" t="s">
        <v>21</v>
      </c>
      <c r="I318" s="4" t="s">
        <v>23</v>
      </c>
      <c r="J318" s="4" t="s">
        <v>23</v>
      </c>
      <c r="K318" s="4" t="s">
        <v>23</v>
      </c>
      <c r="L318" s="4" t="s">
        <v>23</v>
      </c>
      <c r="M318" s="4" t="s">
        <v>23</v>
      </c>
      <c r="N318" s="5" t="str">
        <f t="shared" si="1"/>
        <v>Pending</v>
      </c>
      <c r="O318" s="2" t="s">
        <v>24</v>
      </c>
    </row>
    <row r="319" spans="1:15" ht="24" customHeight="1" x14ac:dyDescent="0.25">
      <c r="A319" s="2">
        <v>318</v>
      </c>
      <c r="B319" s="2" t="s">
        <v>1279</v>
      </c>
      <c r="C319" s="2" t="s">
        <v>1347</v>
      </c>
      <c r="D319" s="2" t="s">
        <v>1348</v>
      </c>
      <c r="E319" s="2" t="s">
        <v>1349</v>
      </c>
      <c r="F319" s="2" t="s">
        <v>1350</v>
      </c>
      <c r="G319" s="2" t="s">
        <v>1351</v>
      </c>
      <c r="H319" s="6" t="s">
        <v>42</v>
      </c>
      <c r="I319" s="4" t="s">
        <v>22</v>
      </c>
      <c r="J319" s="4" t="s">
        <v>23</v>
      </c>
      <c r="K319" s="4" t="s">
        <v>23</v>
      </c>
      <c r="L319" s="4" t="s">
        <v>23</v>
      </c>
      <c r="M319" s="4" t="s">
        <v>23</v>
      </c>
      <c r="N319" s="5" t="str">
        <f t="shared" si="1"/>
        <v>In Progress</v>
      </c>
      <c r="O319" s="2" t="s">
        <v>24</v>
      </c>
    </row>
    <row r="320" spans="1:15" ht="24" customHeight="1" x14ac:dyDescent="0.25">
      <c r="A320" s="2">
        <v>319</v>
      </c>
      <c r="B320" s="2" t="s">
        <v>1279</v>
      </c>
      <c r="C320" s="2" t="s">
        <v>1347</v>
      </c>
      <c r="D320" s="2" t="s">
        <v>1352</v>
      </c>
      <c r="E320" s="2" t="s">
        <v>1353</v>
      </c>
      <c r="F320" s="2" t="s">
        <v>1354</v>
      </c>
      <c r="G320" s="2" t="s">
        <v>1355</v>
      </c>
      <c r="H320" s="6" t="s">
        <v>42</v>
      </c>
      <c r="I320" s="4" t="s">
        <v>22</v>
      </c>
      <c r="J320" s="4" t="s">
        <v>23</v>
      </c>
      <c r="K320" s="4" t="s">
        <v>23</v>
      </c>
      <c r="L320" s="4" t="s">
        <v>23</v>
      </c>
      <c r="M320" s="4" t="s">
        <v>23</v>
      </c>
      <c r="N320" s="5" t="str">
        <f t="shared" si="1"/>
        <v>In Progress</v>
      </c>
      <c r="O320" s="2" t="s">
        <v>24</v>
      </c>
    </row>
    <row r="321" spans="1:15" ht="24" customHeight="1" x14ac:dyDescent="0.25">
      <c r="A321" s="2">
        <v>320</v>
      </c>
      <c r="B321" s="2" t="s">
        <v>1279</v>
      </c>
      <c r="C321" s="2" t="s">
        <v>1347</v>
      </c>
      <c r="D321" s="2" t="s">
        <v>1356</v>
      </c>
      <c r="E321" s="2" t="s">
        <v>1357</v>
      </c>
      <c r="F321" s="2" t="s">
        <v>1358</v>
      </c>
      <c r="G321" s="2" t="s">
        <v>1359</v>
      </c>
      <c r="H321" s="6" t="s">
        <v>42</v>
      </c>
      <c r="I321" s="4" t="s">
        <v>22</v>
      </c>
      <c r="J321" s="4" t="s">
        <v>23</v>
      </c>
      <c r="K321" s="4" t="s">
        <v>23</v>
      </c>
      <c r="L321" s="4" t="s">
        <v>23</v>
      </c>
      <c r="M321" s="4" t="s">
        <v>23</v>
      </c>
      <c r="N321" s="5" t="str">
        <f t="shared" si="1"/>
        <v>In Progress</v>
      </c>
      <c r="O321" s="2" t="s">
        <v>24</v>
      </c>
    </row>
    <row r="322" spans="1:15" ht="24" customHeight="1" x14ac:dyDescent="0.25">
      <c r="A322" s="2">
        <v>321</v>
      </c>
      <c r="B322" s="2" t="s">
        <v>1279</v>
      </c>
      <c r="C322" s="2" t="s">
        <v>1347</v>
      </c>
      <c r="D322" s="2" t="s">
        <v>1360</v>
      </c>
      <c r="E322" s="2" t="s">
        <v>1361</v>
      </c>
      <c r="F322" s="2" t="s">
        <v>1362</v>
      </c>
      <c r="G322" s="2" t="s">
        <v>1363</v>
      </c>
      <c r="H322" s="6" t="s">
        <v>42</v>
      </c>
      <c r="I322" s="4" t="s">
        <v>22</v>
      </c>
      <c r="J322" s="4" t="s">
        <v>23</v>
      </c>
      <c r="K322" s="4" t="s">
        <v>23</v>
      </c>
      <c r="L322" s="4" t="s">
        <v>23</v>
      </c>
      <c r="M322" s="4" t="s">
        <v>23</v>
      </c>
      <c r="N322" s="5" t="str">
        <f t="shared" si="1"/>
        <v>In Progress</v>
      </c>
      <c r="O322" s="2" t="s">
        <v>24</v>
      </c>
    </row>
    <row r="323" spans="1:15" ht="24" customHeight="1" x14ac:dyDescent="0.25">
      <c r="A323" s="2">
        <v>322</v>
      </c>
      <c r="B323" s="2" t="s">
        <v>1279</v>
      </c>
      <c r="C323" s="2" t="s">
        <v>1347</v>
      </c>
      <c r="D323" s="2" t="s">
        <v>1364</v>
      </c>
      <c r="E323" s="2" t="s">
        <v>1365</v>
      </c>
      <c r="F323" s="2" t="s">
        <v>1366</v>
      </c>
      <c r="G323" s="2" t="s">
        <v>1367</v>
      </c>
      <c r="H323" s="6" t="s">
        <v>42</v>
      </c>
      <c r="I323" s="4" t="s">
        <v>22</v>
      </c>
      <c r="J323" s="4" t="s">
        <v>23</v>
      </c>
      <c r="K323" s="4" t="s">
        <v>23</v>
      </c>
      <c r="L323" s="4" t="s">
        <v>23</v>
      </c>
      <c r="M323" s="4" t="s">
        <v>23</v>
      </c>
      <c r="N323" s="5" t="str">
        <f t="shared" si="1"/>
        <v>In Progress</v>
      </c>
      <c r="O323" s="2" t="s">
        <v>24</v>
      </c>
    </row>
    <row r="324" spans="1:15" ht="24" customHeight="1" x14ac:dyDescent="0.25">
      <c r="A324" s="2">
        <v>323</v>
      </c>
      <c r="B324" s="2" t="s">
        <v>1279</v>
      </c>
      <c r="C324" s="2" t="s">
        <v>1347</v>
      </c>
      <c r="D324" s="2" t="s">
        <v>1368</v>
      </c>
      <c r="E324" s="2" t="s">
        <v>1369</v>
      </c>
      <c r="F324" s="2" t="s">
        <v>1370</v>
      </c>
      <c r="G324" s="2" t="s">
        <v>1371</v>
      </c>
      <c r="H324" s="7" t="s">
        <v>61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5" t="str">
        <f t="shared" si="1"/>
        <v>Pending</v>
      </c>
      <c r="O324" s="2" t="s">
        <v>1372</v>
      </c>
    </row>
    <row r="325" spans="1:15" ht="24" customHeight="1" x14ac:dyDescent="0.25">
      <c r="A325" s="2">
        <v>324</v>
      </c>
      <c r="B325" s="2" t="s">
        <v>1279</v>
      </c>
      <c r="C325" s="2" t="s">
        <v>1347</v>
      </c>
      <c r="D325" s="2" t="s">
        <v>1373</v>
      </c>
      <c r="E325" s="2" t="s">
        <v>1374</v>
      </c>
      <c r="F325" s="2" t="s">
        <v>1375</v>
      </c>
      <c r="G325" s="2" t="s">
        <v>1376</v>
      </c>
      <c r="H325" s="7" t="s">
        <v>61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5" t="str">
        <f t="shared" si="1"/>
        <v>Pending</v>
      </c>
      <c r="O325" s="2" t="s">
        <v>1372</v>
      </c>
    </row>
    <row r="326" spans="1:15" ht="24" customHeight="1" x14ac:dyDescent="0.25">
      <c r="A326" s="2">
        <v>325</v>
      </c>
      <c r="B326" s="2" t="s">
        <v>1279</v>
      </c>
      <c r="C326" s="2" t="s">
        <v>1347</v>
      </c>
      <c r="D326" s="2" t="s">
        <v>1377</v>
      </c>
      <c r="E326" s="2" t="s">
        <v>1378</v>
      </c>
      <c r="F326" s="2" t="s">
        <v>1379</v>
      </c>
      <c r="G326" s="2" t="s">
        <v>1380</v>
      </c>
      <c r="H326" s="6" t="s">
        <v>42</v>
      </c>
      <c r="I326" s="4" t="s">
        <v>23</v>
      </c>
      <c r="J326" s="4" t="s">
        <v>23</v>
      </c>
      <c r="K326" s="4" t="s">
        <v>23</v>
      </c>
      <c r="L326" s="4" t="s">
        <v>23</v>
      </c>
      <c r="M326" s="4" t="s">
        <v>23</v>
      </c>
      <c r="N326" s="5" t="str">
        <f t="shared" si="1"/>
        <v>Pending</v>
      </c>
      <c r="O326" s="2" t="s">
        <v>1372</v>
      </c>
    </row>
    <row r="327" spans="1:15" ht="24" customHeight="1" x14ac:dyDescent="0.25">
      <c r="A327" s="2">
        <v>326</v>
      </c>
      <c r="B327" s="2" t="s">
        <v>1279</v>
      </c>
      <c r="C327" s="2" t="s">
        <v>1381</v>
      </c>
      <c r="D327" s="2" t="s">
        <v>1382</v>
      </c>
      <c r="E327" s="2" t="s">
        <v>1383</v>
      </c>
      <c r="F327" s="2" t="s">
        <v>1384</v>
      </c>
      <c r="G327" s="2" t="s">
        <v>1385</v>
      </c>
      <c r="H327" s="7" t="s">
        <v>61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5" t="str">
        <f t="shared" si="1"/>
        <v>Pending</v>
      </c>
      <c r="O327" s="2" t="s">
        <v>1372</v>
      </c>
    </row>
    <row r="328" spans="1:15" ht="24" customHeight="1" x14ac:dyDescent="0.25">
      <c r="A328" s="2">
        <v>327</v>
      </c>
      <c r="B328" s="2" t="s">
        <v>1279</v>
      </c>
      <c r="C328" s="2" t="s">
        <v>1381</v>
      </c>
      <c r="D328" s="2" t="s">
        <v>1386</v>
      </c>
      <c r="E328" s="2" t="s">
        <v>1387</v>
      </c>
      <c r="F328" s="2" t="s">
        <v>1388</v>
      </c>
      <c r="G328" s="2" t="s">
        <v>1389</v>
      </c>
      <c r="H328" s="6" t="s">
        <v>42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5" t="str">
        <f t="shared" si="1"/>
        <v>Pending</v>
      </c>
      <c r="O328" s="2" t="s">
        <v>1372</v>
      </c>
    </row>
    <row r="329" spans="1:15" ht="24" customHeight="1" x14ac:dyDescent="0.25">
      <c r="A329" s="2">
        <v>328</v>
      </c>
      <c r="B329" s="2" t="s">
        <v>1279</v>
      </c>
      <c r="C329" s="2" t="s">
        <v>1381</v>
      </c>
      <c r="D329" s="2" t="s">
        <v>1390</v>
      </c>
      <c r="E329" s="2" t="s">
        <v>1391</v>
      </c>
      <c r="F329" s="2" t="s">
        <v>1392</v>
      </c>
      <c r="G329" s="2" t="s">
        <v>1393</v>
      </c>
      <c r="H329" s="2" t="s">
        <v>220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5" t="str">
        <f t="shared" si="1"/>
        <v>Pending</v>
      </c>
      <c r="O329" s="2" t="s">
        <v>1372</v>
      </c>
    </row>
    <row r="330" spans="1:15" ht="24" customHeight="1" x14ac:dyDescent="0.25"/>
    <row r="331" spans="1:15" ht="24" customHeight="1" x14ac:dyDescent="0.25"/>
    <row r="332" spans="1:15" ht="24" customHeight="1" x14ac:dyDescent="0.25"/>
    <row r="333" spans="1:15" ht="24" customHeight="1" x14ac:dyDescent="0.25"/>
    <row r="334" spans="1:15" ht="24" customHeight="1" x14ac:dyDescent="0.25"/>
    <row r="335" spans="1:15" ht="24" customHeight="1" x14ac:dyDescent="0.25"/>
    <row r="336" spans="1:15" ht="24" customHeight="1" x14ac:dyDescent="0.25"/>
    <row r="337" ht="24" customHeight="1" x14ac:dyDescent="0.25"/>
    <row r="338" ht="24" customHeight="1" x14ac:dyDescent="0.25"/>
    <row r="339" ht="24" customHeight="1" x14ac:dyDescent="0.25"/>
    <row r="340" ht="24" customHeight="1" x14ac:dyDescent="0.25"/>
    <row r="341" ht="24" customHeight="1" x14ac:dyDescent="0.25"/>
    <row r="342" ht="24" customHeight="1" x14ac:dyDescent="0.25"/>
    <row r="343" ht="24" customHeight="1" x14ac:dyDescent="0.25"/>
    <row r="344" ht="24" customHeight="1" x14ac:dyDescent="0.25"/>
    <row r="345" ht="24" customHeight="1" x14ac:dyDescent="0.25"/>
    <row r="346" ht="24" customHeight="1" x14ac:dyDescent="0.25"/>
    <row r="347" ht="24" customHeight="1" x14ac:dyDescent="0.25"/>
    <row r="348" ht="24" customHeight="1" x14ac:dyDescent="0.25"/>
    <row r="349" ht="24" customHeight="1" x14ac:dyDescent="0.25"/>
    <row r="350" ht="24" customHeight="1" x14ac:dyDescent="0.25"/>
    <row r="351" ht="24" customHeight="1" x14ac:dyDescent="0.25"/>
    <row r="352" ht="24" customHeight="1" x14ac:dyDescent="0.25"/>
    <row r="353" ht="24" customHeight="1" x14ac:dyDescent="0.25"/>
    <row r="354" ht="24" customHeight="1" x14ac:dyDescent="0.25"/>
    <row r="355" ht="24" customHeight="1" x14ac:dyDescent="0.25"/>
    <row r="356" ht="24" customHeight="1" x14ac:dyDescent="0.25"/>
    <row r="357" ht="24" customHeight="1" x14ac:dyDescent="0.25"/>
    <row r="358" ht="24" customHeight="1" x14ac:dyDescent="0.25"/>
    <row r="359" ht="24" customHeight="1" x14ac:dyDescent="0.25"/>
    <row r="360" ht="24" customHeight="1" x14ac:dyDescent="0.25"/>
    <row r="361" ht="24" customHeight="1" x14ac:dyDescent="0.25"/>
    <row r="362" ht="24" customHeight="1" x14ac:dyDescent="0.25"/>
    <row r="363" ht="24" customHeight="1" x14ac:dyDescent="0.25"/>
    <row r="364" ht="24" customHeight="1" x14ac:dyDescent="0.25"/>
    <row r="365" ht="24" customHeight="1" x14ac:dyDescent="0.25"/>
    <row r="366" ht="24" customHeight="1" x14ac:dyDescent="0.25"/>
    <row r="367" ht="24" customHeight="1" x14ac:dyDescent="0.25"/>
    <row r="368" ht="24" customHeight="1" x14ac:dyDescent="0.25"/>
    <row r="369" ht="24" customHeight="1" x14ac:dyDescent="0.25"/>
    <row r="370" ht="24" customHeight="1" x14ac:dyDescent="0.25"/>
    <row r="371" ht="24" customHeight="1" x14ac:dyDescent="0.25"/>
    <row r="372" ht="24" customHeight="1" x14ac:dyDescent="0.25"/>
    <row r="373" ht="24" customHeight="1" x14ac:dyDescent="0.25"/>
    <row r="374" ht="24" customHeight="1" x14ac:dyDescent="0.25"/>
    <row r="375" ht="24" customHeight="1" x14ac:dyDescent="0.25"/>
    <row r="376" ht="24" customHeight="1" x14ac:dyDescent="0.25"/>
    <row r="377" ht="24" customHeight="1" x14ac:dyDescent="0.25"/>
    <row r="378" ht="24" customHeight="1" x14ac:dyDescent="0.25"/>
    <row r="379" ht="24" customHeight="1" x14ac:dyDescent="0.25"/>
    <row r="380" ht="24" customHeight="1" x14ac:dyDescent="0.25"/>
    <row r="381" ht="24" customHeight="1" x14ac:dyDescent="0.25"/>
    <row r="382" ht="24" customHeight="1" x14ac:dyDescent="0.25"/>
    <row r="383" ht="24" customHeight="1" x14ac:dyDescent="0.25"/>
    <row r="384" ht="24" customHeight="1" x14ac:dyDescent="0.25"/>
    <row r="385" ht="24" customHeight="1" x14ac:dyDescent="0.25"/>
    <row r="386" ht="24" customHeight="1" x14ac:dyDescent="0.25"/>
    <row r="387" ht="24" customHeight="1" x14ac:dyDescent="0.25"/>
    <row r="388" ht="24" customHeight="1" x14ac:dyDescent="0.25"/>
    <row r="389" ht="24" customHeight="1" x14ac:dyDescent="0.25"/>
    <row r="390" ht="24" customHeight="1" x14ac:dyDescent="0.25"/>
    <row r="391" ht="24" customHeight="1" x14ac:dyDescent="0.25"/>
    <row r="392" ht="24" customHeight="1" x14ac:dyDescent="0.25"/>
    <row r="393" ht="24" customHeight="1" x14ac:dyDescent="0.25"/>
    <row r="394" ht="24" customHeight="1" x14ac:dyDescent="0.25"/>
    <row r="395" ht="24" customHeight="1" x14ac:dyDescent="0.25"/>
    <row r="396" ht="24" customHeight="1" x14ac:dyDescent="0.25"/>
    <row r="397" ht="24" customHeight="1" x14ac:dyDescent="0.25"/>
    <row r="398" ht="24" customHeight="1" x14ac:dyDescent="0.25"/>
    <row r="399" ht="24" customHeight="1" x14ac:dyDescent="0.25"/>
    <row r="400" ht="24" customHeight="1" x14ac:dyDescent="0.25"/>
    <row r="401" ht="24" customHeight="1" x14ac:dyDescent="0.25"/>
    <row r="402" ht="24" customHeight="1" x14ac:dyDescent="0.25"/>
    <row r="403" ht="24" customHeight="1" x14ac:dyDescent="0.25"/>
    <row r="404" ht="24" customHeight="1" x14ac:dyDescent="0.25"/>
    <row r="405" ht="24" customHeight="1" x14ac:dyDescent="0.25"/>
    <row r="406" ht="24" customHeight="1" x14ac:dyDescent="0.25"/>
    <row r="407" ht="24" customHeight="1" x14ac:dyDescent="0.25"/>
    <row r="408" ht="24" customHeight="1" x14ac:dyDescent="0.25"/>
    <row r="409" ht="24" customHeight="1" x14ac:dyDescent="0.25"/>
    <row r="410" ht="24" customHeight="1" x14ac:dyDescent="0.25"/>
    <row r="411" ht="24" customHeight="1" x14ac:dyDescent="0.25"/>
    <row r="412" ht="24" customHeight="1" x14ac:dyDescent="0.25"/>
    <row r="413" ht="24" customHeight="1" x14ac:dyDescent="0.25"/>
    <row r="414" ht="24" customHeight="1" x14ac:dyDescent="0.25"/>
    <row r="415" ht="24" customHeight="1" x14ac:dyDescent="0.25"/>
    <row r="416" ht="24" customHeight="1" x14ac:dyDescent="0.25"/>
    <row r="417" ht="24" customHeight="1" x14ac:dyDescent="0.25"/>
    <row r="418" ht="24" customHeight="1" x14ac:dyDescent="0.25"/>
    <row r="419" ht="24" customHeight="1" x14ac:dyDescent="0.25"/>
    <row r="420" ht="24" customHeight="1" x14ac:dyDescent="0.25"/>
    <row r="421" ht="24" customHeight="1" x14ac:dyDescent="0.25"/>
    <row r="422" ht="24" customHeight="1" x14ac:dyDescent="0.25"/>
    <row r="423" ht="24" customHeight="1" x14ac:dyDescent="0.25"/>
    <row r="424" ht="24" customHeight="1" x14ac:dyDescent="0.25"/>
    <row r="425" ht="24" customHeight="1" x14ac:dyDescent="0.25"/>
    <row r="426" ht="24" customHeight="1" x14ac:dyDescent="0.25"/>
    <row r="427" ht="24" customHeight="1" x14ac:dyDescent="0.25"/>
    <row r="428" ht="24" customHeight="1" x14ac:dyDescent="0.25"/>
    <row r="429" ht="24" customHeight="1" x14ac:dyDescent="0.25"/>
    <row r="430" ht="24" customHeight="1" x14ac:dyDescent="0.25"/>
    <row r="431" ht="24" customHeight="1" x14ac:dyDescent="0.25"/>
    <row r="432" ht="24" customHeight="1" x14ac:dyDescent="0.25"/>
    <row r="433" ht="24" customHeight="1" x14ac:dyDescent="0.25"/>
    <row r="434" ht="24" customHeight="1" x14ac:dyDescent="0.25"/>
    <row r="435" ht="24" customHeight="1" x14ac:dyDescent="0.25"/>
    <row r="436" ht="24" customHeight="1" x14ac:dyDescent="0.25"/>
    <row r="437" ht="24" customHeight="1" x14ac:dyDescent="0.25"/>
    <row r="438" ht="24" customHeight="1" x14ac:dyDescent="0.25"/>
    <row r="439" ht="24" customHeight="1" x14ac:dyDescent="0.25"/>
    <row r="440" ht="24" customHeight="1" x14ac:dyDescent="0.25"/>
    <row r="441" ht="24" customHeight="1" x14ac:dyDescent="0.25"/>
    <row r="442" ht="24" customHeight="1" x14ac:dyDescent="0.25"/>
    <row r="443" ht="24" customHeight="1" x14ac:dyDescent="0.25"/>
    <row r="444" ht="24" customHeight="1" x14ac:dyDescent="0.25"/>
    <row r="445" ht="24" customHeight="1" x14ac:dyDescent="0.25"/>
    <row r="446" ht="24" customHeight="1" x14ac:dyDescent="0.25"/>
    <row r="447" ht="24" customHeight="1" x14ac:dyDescent="0.25"/>
    <row r="448" ht="24" customHeight="1" x14ac:dyDescent="0.25"/>
    <row r="449" ht="24" customHeight="1" x14ac:dyDescent="0.25"/>
    <row r="450" ht="24" customHeight="1" x14ac:dyDescent="0.25"/>
    <row r="451" ht="24" customHeight="1" x14ac:dyDescent="0.25"/>
    <row r="452" ht="24" customHeight="1" x14ac:dyDescent="0.25"/>
    <row r="453" ht="24" customHeight="1" x14ac:dyDescent="0.25"/>
    <row r="454" ht="24" customHeight="1" x14ac:dyDescent="0.25"/>
    <row r="455" ht="24" customHeight="1" x14ac:dyDescent="0.25"/>
    <row r="456" ht="24" customHeight="1" x14ac:dyDescent="0.25"/>
    <row r="457" ht="24" customHeight="1" x14ac:dyDescent="0.25"/>
    <row r="458" ht="24" customHeight="1" x14ac:dyDescent="0.25"/>
    <row r="459" ht="24" customHeight="1" x14ac:dyDescent="0.25"/>
    <row r="460" ht="24" customHeight="1" x14ac:dyDescent="0.25"/>
    <row r="461" ht="24" customHeight="1" x14ac:dyDescent="0.25"/>
    <row r="462" ht="24" customHeight="1" x14ac:dyDescent="0.25"/>
    <row r="463" ht="24" customHeight="1" x14ac:dyDescent="0.25"/>
    <row r="464" ht="24" customHeight="1" x14ac:dyDescent="0.25"/>
    <row r="465" ht="24" customHeight="1" x14ac:dyDescent="0.25"/>
    <row r="466" ht="24" customHeight="1" x14ac:dyDescent="0.25"/>
    <row r="467" ht="24" customHeight="1" x14ac:dyDescent="0.25"/>
    <row r="468" ht="24" customHeight="1" x14ac:dyDescent="0.25"/>
    <row r="469" ht="24" customHeight="1" x14ac:dyDescent="0.25"/>
    <row r="470" ht="24" customHeight="1" x14ac:dyDescent="0.25"/>
    <row r="471" ht="24" customHeight="1" x14ac:dyDescent="0.25"/>
    <row r="472" ht="24" customHeight="1" x14ac:dyDescent="0.25"/>
    <row r="473" ht="24" customHeight="1" x14ac:dyDescent="0.25"/>
    <row r="474" ht="24" customHeight="1" x14ac:dyDescent="0.25"/>
    <row r="475" ht="24" customHeight="1" x14ac:dyDescent="0.25"/>
    <row r="476" ht="24" customHeight="1" x14ac:dyDescent="0.25"/>
    <row r="477" ht="24" customHeight="1" x14ac:dyDescent="0.25"/>
    <row r="478" ht="24" customHeight="1" x14ac:dyDescent="0.25"/>
    <row r="479" ht="24" customHeight="1" x14ac:dyDescent="0.25"/>
    <row r="480" ht="24" customHeight="1" x14ac:dyDescent="0.25"/>
    <row r="481" ht="24" customHeight="1" x14ac:dyDescent="0.25"/>
    <row r="482" ht="24" customHeight="1" x14ac:dyDescent="0.25"/>
    <row r="483" ht="24" customHeight="1" x14ac:dyDescent="0.25"/>
    <row r="484" ht="24" customHeight="1" x14ac:dyDescent="0.25"/>
    <row r="485" ht="24" customHeight="1" x14ac:dyDescent="0.25"/>
    <row r="486" ht="24" customHeight="1" x14ac:dyDescent="0.25"/>
    <row r="487" ht="24" customHeight="1" x14ac:dyDescent="0.25"/>
    <row r="488" ht="24" customHeight="1" x14ac:dyDescent="0.25"/>
    <row r="489" ht="24" customHeight="1" x14ac:dyDescent="0.25"/>
    <row r="490" ht="24" customHeight="1" x14ac:dyDescent="0.25"/>
    <row r="491" ht="24" customHeight="1" x14ac:dyDescent="0.25"/>
    <row r="492" ht="24" customHeight="1" x14ac:dyDescent="0.25"/>
    <row r="493" ht="24" customHeight="1" x14ac:dyDescent="0.25"/>
    <row r="494" ht="24" customHeight="1" x14ac:dyDescent="0.25"/>
    <row r="495" ht="24" customHeight="1" x14ac:dyDescent="0.25"/>
    <row r="496" ht="24" customHeight="1" x14ac:dyDescent="0.25"/>
    <row r="497" ht="24" customHeight="1" x14ac:dyDescent="0.25"/>
    <row r="498" ht="24" customHeight="1" x14ac:dyDescent="0.25"/>
    <row r="499" ht="24" customHeight="1" x14ac:dyDescent="0.25"/>
    <row r="500" ht="24" customHeight="1" x14ac:dyDescent="0.25"/>
    <row r="501" ht="24" customHeight="1" x14ac:dyDescent="0.25"/>
    <row r="502" ht="24" customHeight="1" x14ac:dyDescent="0.25"/>
    <row r="503" ht="24" customHeight="1" x14ac:dyDescent="0.25"/>
    <row r="504" ht="24" customHeight="1" x14ac:dyDescent="0.25"/>
    <row r="505" ht="24" customHeight="1" x14ac:dyDescent="0.25"/>
    <row r="506" ht="24" customHeight="1" x14ac:dyDescent="0.25"/>
    <row r="507" ht="24" customHeight="1" x14ac:dyDescent="0.25"/>
    <row r="508" ht="24" customHeight="1" x14ac:dyDescent="0.25"/>
    <row r="509" ht="24" customHeight="1" x14ac:dyDescent="0.25"/>
    <row r="510" ht="24" customHeight="1" x14ac:dyDescent="0.25"/>
    <row r="511" ht="24" customHeight="1" x14ac:dyDescent="0.25"/>
    <row r="512" ht="24" customHeight="1" x14ac:dyDescent="0.25"/>
    <row r="513" ht="24" customHeight="1" x14ac:dyDescent="0.25"/>
    <row r="514" ht="24" customHeight="1" x14ac:dyDescent="0.25"/>
    <row r="515" ht="24" customHeight="1" x14ac:dyDescent="0.25"/>
    <row r="516" ht="24" customHeight="1" x14ac:dyDescent="0.25"/>
    <row r="517" ht="24" customHeight="1" x14ac:dyDescent="0.25"/>
    <row r="518" ht="24" customHeight="1" x14ac:dyDescent="0.25"/>
    <row r="519" ht="24" customHeight="1" x14ac:dyDescent="0.25"/>
    <row r="520" ht="24" customHeight="1" x14ac:dyDescent="0.25"/>
    <row r="521" ht="24" customHeight="1" x14ac:dyDescent="0.25"/>
    <row r="522" ht="24" customHeight="1" x14ac:dyDescent="0.25"/>
    <row r="523" ht="24" customHeight="1" x14ac:dyDescent="0.25"/>
    <row r="524" ht="24" customHeight="1" x14ac:dyDescent="0.25"/>
    <row r="525" ht="24" customHeight="1" x14ac:dyDescent="0.25"/>
    <row r="526" ht="24" customHeight="1" x14ac:dyDescent="0.25"/>
    <row r="527" ht="24" customHeight="1" x14ac:dyDescent="0.25"/>
    <row r="528" ht="24" customHeight="1" x14ac:dyDescent="0.25"/>
    <row r="529" ht="24" customHeight="1" x14ac:dyDescent="0.25"/>
    <row r="530" ht="24" customHeight="1" x14ac:dyDescent="0.25"/>
    <row r="531" ht="24" customHeight="1" x14ac:dyDescent="0.25"/>
    <row r="532" ht="24" customHeight="1" x14ac:dyDescent="0.25"/>
    <row r="533" ht="24" customHeight="1" x14ac:dyDescent="0.25"/>
    <row r="534" ht="24" customHeight="1" x14ac:dyDescent="0.25"/>
    <row r="535" ht="24" customHeight="1" x14ac:dyDescent="0.25"/>
    <row r="536" ht="24" customHeight="1" x14ac:dyDescent="0.25"/>
    <row r="537" ht="24" customHeight="1" x14ac:dyDescent="0.25"/>
    <row r="538" ht="24" customHeight="1" x14ac:dyDescent="0.25"/>
    <row r="539" ht="24" customHeight="1" x14ac:dyDescent="0.25"/>
    <row r="540" ht="24" customHeight="1" x14ac:dyDescent="0.25"/>
    <row r="541" ht="24" customHeight="1" x14ac:dyDescent="0.25"/>
    <row r="542" ht="24" customHeight="1" x14ac:dyDescent="0.25"/>
    <row r="543" ht="24" customHeight="1" x14ac:dyDescent="0.25"/>
    <row r="544" ht="24" customHeight="1" x14ac:dyDescent="0.25"/>
    <row r="545" ht="24" customHeight="1" x14ac:dyDescent="0.25"/>
    <row r="546" ht="24" customHeight="1" x14ac:dyDescent="0.25"/>
    <row r="547" ht="24" customHeight="1" x14ac:dyDescent="0.25"/>
    <row r="548" ht="24" customHeight="1" x14ac:dyDescent="0.25"/>
    <row r="549" ht="24" customHeight="1" x14ac:dyDescent="0.25"/>
    <row r="550" ht="24" customHeight="1" x14ac:dyDescent="0.25"/>
    <row r="551" ht="24" customHeight="1" x14ac:dyDescent="0.25"/>
    <row r="552" ht="24" customHeight="1" x14ac:dyDescent="0.25"/>
    <row r="553" ht="24" customHeight="1" x14ac:dyDescent="0.25"/>
    <row r="554" ht="24" customHeight="1" x14ac:dyDescent="0.25"/>
    <row r="555" ht="24" customHeight="1" x14ac:dyDescent="0.25"/>
    <row r="556" ht="24" customHeight="1" x14ac:dyDescent="0.25"/>
    <row r="557" ht="24" customHeight="1" x14ac:dyDescent="0.25"/>
    <row r="558" ht="24" customHeight="1" x14ac:dyDescent="0.25"/>
    <row r="559" ht="24" customHeight="1" x14ac:dyDescent="0.25"/>
    <row r="560" ht="24" customHeight="1" x14ac:dyDescent="0.25"/>
    <row r="561" ht="24" customHeight="1" x14ac:dyDescent="0.25"/>
    <row r="562" ht="24" customHeight="1" x14ac:dyDescent="0.25"/>
    <row r="563" ht="24" customHeight="1" x14ac:dyDescent="0.25"/>
    <row r="564" ht="24" customHeight="1" x14ac:dyDescent="0.25"/>
    <row r="565" ht="24" customHeight="1" x14ac:dyDescent="0.25"/>
    <row r="566" ht="24" customHeight="1" x14ac:dyDescent="0.25"/>
    <row r="567" ht="24" customHeight="1" x14ac:dyDescent="0.25"/>
    <row r="568" ht="24" customHeight="1" x14ac:dyDescent="0.25"/>
    <row r="569" ht="24" customHeight="1" x14ac:dyDescent="0.25"/>
    <row r="570" ht="24" customHeight="1" x14ac:dyDescent="0.25"/>
    <row r="571" ht="24" customHeight="1" x14ac:dyDescent="0.25"/>
    <row r="572" ht="24" customHeight="1" x14ac:dyDescent="0.25"/>
    <row r="573" ht="24" customHeight="1" x14ac:dyDescent="0.25"/>
    <row r="574" ht="24" customHeight="1" x14ac:dyDescent="0.25"/>
    <row r="575" ht="24" customHeight="1" x14ac:dyDescent="0.25"/>
    <row r="576" ht="24" customHeight="1" x14ac:dyDescent="0.25"/>
    <row r="577" ht="24" customHeight="1" x14ac:dyDescent="0.25"/>
    <row r="578" ht="24" customHeight="1" x14ac:dyDescent="0.25"/>
    <row r="579" ht="24" customHeight="1" x14ac:dyDescent="0.25"/>
    <row r="580" ht="24" customHeight="1" x14ac:dyDescent="0.25"/>
    <row r="581" ht="24" customHeight="1" x14ac:dyDescent="0.25"/>
    <row r="582" ht="24" customHeight="1" x14ac:dyDescent="0.25"/>
    <row r="583" ht="24" customHeight="1" x14ac:dyDescent="0.25"/>
    <row r="584" ht="24" customHeight="1" x14ac:dyDescent="0.25"/>
    <row r="585" ht="24" customHeight="1" x14ac:dyDescent="0.25"/>
    <row r="586" ht="24" customHeight="1" x14ac:dyDescent="0.25"/>
    <row r="587" ht="24" customHeight="1" x14ac:dyDescent="0.25"/>
    <row r="588" ht="24" customHeight="1" x14ac:dyDescent="0.25"/>
    <row r="589" ht="24" customHeight="1" x14ac:dyDescent="0.25"/>
    <row r="590" ht="24" customHeight="1" x14ac:dyDescent="0.25"/>
    <row r="591" ht="24" customHeight="1" x14ac:dyDescent="0.25"/>
    <row r="592" ht="24" customHeight="1" x14ac:dyDescent="0.25"/>
    <row r="593" ht="24" customHeight="1" x14ac:dyDescent="0.25"/>
    <row r="594" ht="24" customHeight="1" x14ac:dyDescent="0.25"/>
    <row r="595" ht="24" customHeight="1" x14ac:dyDescent="0.25"/>
    <row r="596" ht="24" customHeight="1" x14ac:dyDescent="0.25"/>
    <row r="597" ht="24" customHeight="1" x14ac:dyDescent="0.25"/>
    <row r="598" ht="24" customHeight="1" x14ac:dyDescent="0.25"/>
    <row r="599" ht="24" customHeight="1" x14ac:dyDescent="0.25"/>
    <row r="600" ht="24" customHeight="1" x14ac:dyDescent="0.25"/>
    <row r="601" ht="24" customHeight="1" x14ac:dyDescent="0.25"/>
    <row r="602" ht="24" customHeight="1" x14ac:dyDescent="0.25"/>
    <row r="603" ht="24" customHeight="1" x14ac:dyDescent="0.25"/>
    <row r="604" ht="24" customHeight="1" x14ac:dyDescent="0.25"/>
    <row r="605" ht="24" customHeight="1" x14ac:dyDescent="0.25"/>
    <row r="606" ht="24" customHeight="1" x14ac:dyDescent="0.25"/>
    <row r="607" ht="24" customHeight="1" x14ac:dyDescent="0.25"/>
    <row r="608" ht="24" customHeight="1" x14ac:dyDescent="0.25"/>
    <row r="609" ht="24" customHeight="1" x14ac:dyDescent="0.25"/>
    <row r="610" ht="24" customHeight="1" x14ac:dyDescent="0.25"/>
    <row r="611" ht="24" customHeight="1" x14ac:dyDescent="0.25"/>
    <row r="612" ht="24" customHeight="1" x14ac:dyDescent="0.25"/>
    <row r="613" ht="24" customHeight="1" x14ac:dyDescent="0.25"/>
    <row r="614" ht="24" customHeight="1" x14ac:dyDescent="0.25"/>
    <row r="615" ht="24" customHeight="1" x14ac:dyDescent="0.25"/>
    <row r="616" ht="24" customHeight="1" x14ac:dyDescent="0.25"/>
    <row r="617" ht="24" customHeight="1" x14ac:dyDescent="0.25"/>
    <row r="618" ht="24" customHeight="1" x14ac:dyDescent="0.25"/>
    <row r="619" ht="24" customHeight="1" x14ac:dyDescent="0.25"/>
    <row r="620" ht="24" customHeight="1" x14ac:dyDescent="0.25"/>
    <row r="621" ht="24" customHeight="1" x14ac:dyDescent="0.25"/>
    <row r="622" ht="24" customHeight="1" x14ac:dyDescent="0.25"/>
    <row r="623" ht="24" customHeight="1" x14ac:dyDescent="0.25"/>
    <row r="624" ht="24" customHeight="1" x14ac:dyDescent="0.25"/>
    <row r="625" ht="24" customHeight="1" x14ac:dyDescent="0.25"/>
    <row r="626" ht="24" customHeight="1" x14ac:dyDescent="0.25"/>
    <row r="627" ht="24" customHeight="1" x14ac:dyDescent="0.25"/>
    <row r="628" ht="24" customHeight="1" x14ac:dyDescent="0.25"/>
    <row r="629" ht="24" customHeight="1" x14ac:dyDescent="0.25"/>
    <row r="630" ht="24" customHeight="1" x14ac:dyDescent="0.25"/>
    <row r="631" ht="24" customHeight="1" x14ac:dyDescent="0.25"/>
    <row r="632" ht="24" customHeight="1" x14ac:dyDescent="0.25"/>
    <row r="633" ht="24" customHeight="1" x14ac:dyDescent="0.25"/>
    <row r="634" ht="24" customHeight="1" x14ac:dyDescent="0.25"/>
    <row r="635" ht="24" customHeight="1" x14ac:dyDescent="0.25"/>
    <row r="636" ht="24" customHeight="1" x14ac:dyDescent="0.25"/>
    <row r="637" ht="24" customHeight="1" x14ac:dyDescent="0.25"/>
    <row r="638" ht="24" customHeight="1" x14ac:dyDescent="0.25"/>
    <row r="639" ht="24" customHeight="1" x14ac:dyDescent="0.25"/>
    <row r="640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  <row r="663" ht="24" customHeight="1" x14ac:dyDescent="0.25"/>
    <row r="664" ht="24" customHeight="1" x14ac:dyDescent="0.25"/>
    <row r="665" ht="24" customHeight="1" x14ac:dyDescent="0.25"/>
    <row r="666" ht="24" customHeight="1" x14ac:dyDescent="0.25"/>
    <row r="667" ht="24" customHeight="1" x14ac:dyDescent="0.25"/>
    <row r="668" ht="24" customHeight="1" x14ac:dyDescent="0.25"/>
    <row r="669" ht="24" customHeight="1" x14ac:dyDescent="0.25"/>
    <row r="670" ht="24" customHeight="1" x14ac:dyDescent="0.25"/>
    <row r="671" ht="24" customHeight="1" x14ac:dyDescent="0.25"/>
    <row r="672" ht="24" customHeight="1" x14ac:dyDescent="0.25"/>
    <row r="673" ht="24" customHeight="1" x14ac:dyDescent="0.25"/>
    <row r="674" ht="24" customHeight="1" x14ac:dyDescent="0.25"/>
    <row r="675" ht="24" customHeight="1" x14ac:dyDescent="0.25"/>
    <row r="676" ht="24" customHeight="1" x14ac:dyDescent="0.25"/>
    <row r="677" ht="24" customHeight="1" x14ac:dyDescent="0.25"/>
    <row r="678" ht="24" customHeight="1" x14ac:dyDescent="0.25"/>
    <row r="679" ht="24" customHeight="1" x14ac:dyDescent="0.25"/>
    <row r="680" ht="24" customHeight="1" x14ac:dyDescent="0.25"/>
    <row r="681" ht="24" customHeight="1" x14ac:dyDescent="0.25"/>
    <row r="682" ht="24" customHeight="1" x14ac:dyDescent="0.25"/>
    <row r="683" ht="24" customHeight="1" x14ac:dyDescent="0.25"/>
    <row r="684" ht="24" customHeight="1" x14ac:dyDescent="0.25"/>
    <row r="685" ht="24" customHeight="1" x14ac:dyDescent="0.25"/>
    <row r="686" ht="24" customHeight="1" x14ac:dyDescent="0.25"/>
    <row r="687" ht="24" customHeight="1" x14ac:dyDescent="0.25"/>
    <row r="688" ht="24" customHeight="1" x14ac:dyDescent="0.25"/>
    <row r="689" ht="24" customHeight="1" x14ac:dyDescent="0.25"/>
    <row r="690" ht="24" customHeight="1" x14ac:dyDescent="0.25"/>
    <row r="691" ht="24" customHeight="1" x14ac:dyDescent="0.25"/>
    <row r="692" ht="24" customHeight="1" x14ac:dyDescent="0.25"/>
    <row r="693" ht="24" customHeight="1" x14ac:dyDescent="0.25"/>
    <row r="694" ht="24" customHeight="1" x14ac:dyDescent="0.25"/>
    <row r="695" ht="24" customHeight="1" x14ac:dyDescent="0.25"/>
    <row r="696" ht="24" customHeight="1" x14ac:dyDescent="0.25"/>
    <row r="697" ht="24" customHeight="1" x14ac:dyDescent="0.25"/>
    <row r="698" ht="24" customHeight="1" x14ac:dyDescent="0.25"/>
    <row r="699" ht="24" customHeight="1" x14ac:dyDescent="0.25"/>
    <row r="700" ht="24" customHeight="1" x14ac:dyDescent="0.25"/>
    <row r="701" ht="24" customHeight="1" x14ac:dyDescent="0.25"/>
    <row r="702" ht="24" customHeight="1" x14ac:dyDescent="0.25"/>
    <row r="703" ht="24" customHeight="1" x14ac:dyDescent="0.25"/>
    <row r="704" ht="24" customHeight="1" x14ac:dyDescent="0.25"/>
    <row r="705" ht="24" customHeight="1" x14ac:dyDescent="0.25"/>
    <row r="706" ht="24" customHeight="1" x14ac:dyDescent="0.25"/>
    <row r="707" ht="24" customHeight="1" x14ac:dyDescent="0.25"/>
    <row r="708" ht="24" customHeight="1" x14ac:dyDescent="0.25"/>
    <row r="709" ht="24" customHeight="1" x14ac:dyDescent="0.25"/>
    <row r="710" ht="24" customHeight="1" x14ac:dyDescent="0.25"/>
    <row r="711" ht="24" customHeight="1" x14ac:dyDescent="0.25"/>
    <row r="712" ht="24" customHeight="1" x14ac:dyDescent="0.25"/>
    <row r="713" ht="24" customHeight="1" x14ac:dyDescent="0.25"/>
    <row r="714" ht="24" customHeight="1" x14ac:dyDescent="0.25"/>
    <row r="715" ht="24" customHeight="1" x14ac:dyDescent="0.25"/>
    <row r="716" ht="24" customHeight="1" x14ac:dyDescent="0.25"/>
    <row r="717" ht="24" customHeight="1" x14ac:dyDescent="0.25"/>
    <row r="718" ht="24" customHeight="1" x14ac:dyDescent="0.25"/>
    <row r="719" ht="24" customHeight="1" x14ac:dyDescent="0.25"/>
    <row r="720" ht="24" customHeight="1" x14ac:dyDescent="0.25"/>
    <row r="721" ht="24" customHeight="1" x14ac:dyDescent="0.25"/>
    <row r="722" ht="24" customHeight="1" x14ac:dyDescent="0.25"/>
    <row r="723" ht="24" customHeight="1" x14ac:dyDescent="0.25"/>
    <row r="724" ht="24" customHeight="1" x14ac:dyDescent="0.25"/>
    <row r="725" ht="24" customHeight="1" x14ac:dyDescent="0.25"/>
    <row r="726" ht="24" customHeight="1" x14ac:dyDescent="0.25"/>
    <row r="727" ht="24" customHeight="1" x14ac:dyDescent="0.25"/>
    <row r="728" ht="24" customHeight="1" x14ac:dyDescent="0.25"/>
    <row r="729" ht="24" customHeight="1" x14ac:dyDescent="0.25"/>
    <row r="730" ht="24" customHeight="1" x14ac:dyDescent="0.25"/>
    <row r="731" ht="24" customHeight="1" x14ac:dyDescent="0.25"/>
    <row r="732" ht="24" customHeight="1" x14ac:dyDescent="0.25"/>
    <row r="733" ht="24" customHeight="1" x14ac:dyDescent="0.25"/>
    <row r="734" ht="24" customHeight="1" x14ac:dyDescent="0.25"/>
    <row r="735" ht="24" customHeight="1" x14ac:dyDescent="0.25"/>
    <row r="736" ht="24" customHeight="1" x14ac:dyDescent="0.25"/>
    <row r="737" ht="24" customHeight="1" x14ac:dyDescent="0.25"/>
    <row r="738" ht="24" customHeight="1" x14ac:dyDescent="0.25"/>
    <row r="739" ht="24" customHeight="1" x14ac:dyDescent="0.25"/>
    <row r="740" ht="24" customHeight="1" x14ac:dyDescent="0.25"/>
    <row r="741" ht="24" customHeight="1" x14ac:dyDescent="0.25"/>
    <row r="742" ht="24" customHeight="1" x14ac:dyDescent="0.25"/>
    <row r="743" ht="24" customHeight="1" x14ac:dyDescent="0.25"/>
    <row r="744" ht="24" customHeight="1" x14ac:dyDescent="0.25"/>
    <row r="745" ht="24" customHeight="1" x14ac:dyDescent="0.25"/>
    <row r="746" ht="24" customHeight="1" x14ac:dyDescent="0.25"/>
    <row r="747" ht="24" customHeight="1" x14ac:dyDescent="0.25"/>
    <row r="748" ht="24" customHeight="1" x14ac:dyDescent="0.25"/>
    <row r="749" ht="24" customHeight="1" x14ac:dyDescent="0.25"/>
    <row r="750" ht="24" customHeight="1" x14ac:dyDescent="0.25"/>
    <row r="751" ht="24" customHeight="1" x14ac:dyDescent="0.25"/>
    <row r="752" ht="24" customHeight="1" x14ac:dyDescent="0.25"/>
    <row r="753" ht="24" customHeight="1" x14ac:dyDescent="0.25"/>
    <row r="754" ht="24" customHeight="1" x14ac:dyDescent="0.25"/>
    <row r="755" ht="24" customHeight="1" x14ac:dyDescent="0.25"/>
    <row r="756" ht="24" customHeight="1" x14ac:dyDescent="0.25"/>
    <row r="757" ht="24" customHeight="1" x14ac:dyDescent="0.25"/>
    <row r="758" ht="24" customHeight="1" x14ac:dyDescent="0.25"/>
    <row r="759" ht="24" customHeight="1" x14ac:dyDescent="0.25"/>
    <row r="760" ht="24" customHeight="1" x14ac:dyDescent="0.25"/>
    <row r="761" ht="24" customHeight="1" x14ac:dyDescent="0.25"/>
    <row r="762" ht="24" customHeight="1" x14ac:dyDescent="0.25"/>
    <row r="763" ht="24" customHeight="1" x14ac:dyDescent="0.25"/>
    <row r="764" ht="24" customHeight="1" x14ac:dyDescent="0.25"/>
    <row r="765" ht="24" customHeight="1" x14ac:dyDescent="0.25"/>
    <row r="766" ht="24" customHeight="1" x14ac:dyDescent="0.25"/>
    <row r="767" ht="24" customHeight="1" x14ac:dyDescent="0.25"/>
    <row r="768" ht="24" customHeight="1" x14ac:dyDescent="0.25"/>
    <row r="769" ht="24" customHeight="1" x14ac:dyDescent="0.25"/>
    <row r="770" ht="24" customHeight="1" x14ac:dyDescent="0.25"/>
    <row r="771" ht="24" customHeight="1" x14ac:dyDescent="0.25"/>
    <row r="772" ht="24" customHeight="1" x14ac:dyDescent="0.25"/>
    <row r="773" ht="24" customHeight="1" x14ac:dyDescent="0.25"/>
    <row r="774" ht="24" customHeight="1" x14ac:dyDescent="0.25"/>
    <row r="775" ht="24" customHeight="1" x14ac:dyDescent="0.25"/>
    <row r="776" ht="24" customHeight="1" x14ac:dyDescent="0.25"/>
    <row r="777" ht="24" customHeight="1" x14ac:dyDescent="0.25"/>
    <row r="778" ht="24" customHeight="1" x14ac:dyDescent="0.25"/>
    <row r="779" ht="24" customHeight="1" x14ac:dyDescent="0.25"/>
    <row r="780" ht="24" customHeight="1" x14ac:dyDescent="0.25"/>
    <row r="781" ht="24" customHeight="1" x14ac:dyDescent="0.25"/>
    <row r="782" ht="24" customHeight="1" x14ac:dyDescent="0.25"/>
    <row r="783" ht="24" customHeight="1" x14ac:dyDescent="0.25"/>
    <row r="784" ht="24" customHeight="1" x14ac:dyDescent="0.25"/>
    <row r="785" ht="24" customHeight="1" x14ac:dyDescent="0.25"/>
    <row r="786" ht="24" customHeight="1" x14ac:dyDescent="0.25"/>
    <row r="787" ht="24" customHeight="1" x14ac:dyDescent="0.25"/>
    <row r="788" ht="24" customHeight="1" x14ac:dyDescent="0.25"/>
    <row r="789" ht="24" customHeight="1" x14ac:dyDescent="0.25"/>
    <row r="790" ht="24" customHeight="1" x14ac:dyDescent="0.25"/>
    <row r="791" ht="24" customHeight="1" x14ac:dyDescent="0.25"/>
    <row r="792" ht="24" customHeight="1" x14ac:dyDescent="0.25"/>
    <row r="793" ht="24" customHeight="1" x14ac:dyDescent="0.25"/>
    <row r="794" ht="24" customHeight="1" x14ac:dyDescent="0.25"/>
    <row r="795" ht="24" customHeight="1" x14ac:dyDescent="0.25"/>
    <row r="796" ht="24" customHeight="1" x14ac:dyDescent="0.25"/>
    <row r="797" ht="24" customHeight="1" x14ac:dyDescent="0.25"/>
    <row r="798" ht="24" customHeight="1" x14ac:dyDescent="0.25"/>
    <row r="799" ht="24" customHeight="1" x14ac:dyDescent="0.25"/>
    <row r="800" ht="24" customHeight="1" x14ac:dyDescent="0.25"/>
    <row r="801" ht="24" customHeight="1" x14ac:dyDescent="0.25"/>
    <row r="802" ht="24" customHeight="1" x14ac:dyDescent="0.25"/>
    <row r="803" ht="24" customHeight="1" x14ac:dyDescent="0.25"/>
    <row r="804" ht="24" customHeight="1" x14ac:dyDescent="0.25"/>
    <row r="805" ht="24" customHeight="1" x14ac:dyDescent="0.25"/>
    <row r="806" ht="24" customHeight="1" x14ac:dyDescent="0.25"/>
    <row r="807" ht="24" customHeight="1" x14ac:dyDescent="0.25"/>
    <row r="808" ht="24" customHeight="1" x14ac:dyDescent="0.25"/>
    <row r="809" ht="24" customHeight="1" x14ac:dyDescent="0.25"/>
    <row r="810" ht="24" customHeight="1" x14ac:dyDescent="0.25"/>
    <row r="811" ht="24" customHeight="1" x14ac:dyDescent="0.25"/>
    <row r="812" ht="24" customHeight="1" x14ac:dyDescent="0.25"/>
    <row r="813" ht="24" customHeight="1" x14ac:dyDescent="0.25"/>
    <row r="814" ht="24" customHeight="1" x14ac:dyDescent="0.25"/>
    <row r="815" ht="24" customHeight="1" x14ac:dyDescent="0.25"/>
    <row r="816" ht="24" customHeight="1" x14ac:dyDescent="0.25"/>
    <row r="817" ht="24" customHeight="1" x14ac:dyDescent="0.25"/>
    <row r="818" ht="24" customHeight="1" x14ac:dyDescent="0.25"/>
    <row r="819" ht="24" customHeight="1" x14ac:dyDescent="0.25"/>
    <row r="820" ht="24" customHeight="1" x14ac:dyDescent="0.25"/>
    <row r="821" ht="24" customHeight="1" x14ac:dyDescent="0.25"/>
    <row r="822" ht="24" customHeight="1" x14ac:dyDescent="0.25"/>
    <row r="823" ht="24" customHeight="1" x14ac:dyDescent="0.25"/>
    <row r="824" ht="24" customHeight="1" x14ac:dyDescent="0.25"/>
    <row r="825" ht="24" customHeight="1" x14ac:dyDescent="0.25"/>
    <row r="826" ht="24" customHeight="1" x14ac:dyDescent="0.25"/>
    <row r="827" ht="24" customHeight="1" x14ac:dyDescent="0.25"/>
    <row r="828" ht="24" customHeight="1" x14ac:dyDescent="0.25"/>
    <row r="829" ht="24" customHeight="1" x14ac:dyDescent="0.25"/>
    <row r="830" ht="24" customHeight="1" x14ac:dyDescent="0.25"/>
    <row r="831" ht="24" customHeight="1" x14ac:dyDescent="0.25"/>
    <row r="832" ht="24" customHeight="1" x14ac:dyDescent="0.25"/>
    <row r="833" ht="24" customHeight="1" x14ac:dyDescent="0.25"/>
    <row r="834" ht="24" customHeight="1" x14ac:dyDescent="0.25"/>
    <row r="835" ht="24" customHeight="1" x14ac:dyDescent="0.25"/>
    <row r="836" ht="24" customHeight="1" x14ac:dyDescent="0.25"/>
    <row r="837" ht="24" customHeight="1" x14ac:dyDescent="0.25"/>
    <row r="838" ht="24" customHeight="1" x14ac:dyDescent="0.25"/>
    <row r="839" ht="24" customHeight="1" x14ac:dyDescent="0.25"/>
    <row r="840" ht="24" customHeight="1" x14ac:dyDescent="0.25"/>
    <row r="841" ht="24" customHeight="1" x14ac:dyDescent="0.25"/>
    <row r="842" ht="24" customHeight="1" x14ac:dyDescent="0.25"/>
    <row r="843" ht="24" customHeight="1" x14ac:dyDescent="0.25"/>
    <row r="844" ht="24" customHeight="1" x14ac:dyDescent="0.25"/>
    <row r="845" ht="24" customHeight="1" x14ac:dyDescent="0.25"/>
    <row r="846" ht="24" customHeight="1" x14ac:dyDescent="0.25"/>
    <row r="847" ht="24" customHeight="1" x14ac:dyDescent="0.25"/>
    <row r="848" ht="24" customHeight="1" x14ac:dyDescent="0.25"/>
    <row r="849" ht="24" customHeight="1" x14ac:dyDescent="0.25"/>
    <row r="850" ht="24" customHeight="1" x14ac:dyDescent="0.25"/>
    <row r="851" ht="24" customHeight="1" x14ac:dyDescent="0.25"/>
    <row r="852" ht="24" customHeight="1" x14ac:dyDescent="0.25"/>
    <row r="853" ht="24" customHeight="1" x14ac:dyDescent="0.25"/>
    <row r="854" ht="24" customHeight="1" x14ac:dyDescent="0.25"/>
    <row r="855" ht="24" customHeight="1" x14ac:dyDescent="0.25"/>
    <row r="856" ht="24" customHeight="1" x14ac:dyDescent="0.25"/>
    <row r="857" ht="24" customHeight="1" x14ac:dyDescent="0.25"/>
    <row r="858" ht="24" customHeight="1" x14ac:dyDescent="0.25"/>
    <row r="859" ht="24" customHeight="1" x14ac:dyDescent="0.25"/>
    <row r="860" ht="24" customHeight="1" x14ac:dyDescent="0.25"/>
    <row r="861" ht="24" customHeight="1" x14ac:dyDescent="0.25"/>
    <row r="862" ht="24" customHeight="1" x14ac:dyDescent="0.25"/>
    <row r="863" ht="24" customHeight="1" x14ac:dyDescent="0.25"/>
    <row r="864" ht="24" customHeight="1" x14ac:dyDescent="0.25"/>
    <row r="865" ht="24" customHeight="1" x14ac:dyDescent="0.25"/>
    <row r="866" ht="24" customHeight="1" x14ac:dyDescent="0.25"/>
    <row r="867" ht="24" customHeight="1" x14ac:dyDescent="0.25"/>
    <row r="868" ht="24" customHeight="1" x14ac:dyDescent="0.25"/>
    <row r="869" ht="24" customHeight="1" x14ac:dyDescent="0.25"/>
    <row r="870" ht="24" customHeight="1" x14ac:dyDescent="0.25"/>
    <row r="871" ht="24" customHeight="1" x14ac:dyDescent="0.25"/>
    <row r="872" ht="24" customHeight="1" x14ac:dyDescent="0.25"/>
    <row r="873" ht="24" customHeight="1" x14ac:dyDescent="0.25"/>
    <row r="874" ht="24" customHeight="1" x14ac:dyDescent="0.25"/>
    <row r="875" ht="24" customHeight="1" x14ac:dyDescent="0.25"/>
    <row r="876" ht="24" customHeight="1" x14ac:dyDescent="0.25"/>
    <row r="877" ht="24" customHeight="1" x14ac:dyDescent="0.25"/>
    <row r="878" ht="24" customHeight="1" x14ac:dyDescent="0.25"/>
    <row r="879" ht="24" customHeight="1" x14ac:dyDescent="0.25"/>
    <row r="880" ht="24" customHeight="1" x14ac:dyDescent="0.25"/>
    <row r="881" ht="24" customHeight="1" x14ac:dyDescent="0.25"/>
    <row r="882" ht="24" customHeight="1" x14ac:dyDescent="0.25"/>
    <row r="883" ht="24" customHeight="1" x14ac:dyDescent="0.25"/>
    <row r="884" ht="24" customHeight="1" x14ac:dyDescent="0.25"/>
    <row r="885" ht="24" customHeight="1" x14ac:dyDescent="0.25"/>
    <row r="886" ht="24" customHeight="1" x14ac:dyDescent="0.25"/>
    <row r="887" ht="24" customHeight="1" x14ac:dyDescent="0.25"/>
    <row r="888" ht="24" customHeight="1" x14ac:dyDescent="0.25"/>
    <row r="889" ht="24" customHeight="1" x14ac:dyDescent="0.25"/>
    <row r="890" ht="24" customHeight="1" x14ac:dyDescent="0.25"/>
    <row r="891" ht="24" customHeight="1" x14ac:dyDescent="0.25"/>
    <row r="892" ht="24" customHeight="1" x14ac:dyDescent="0.25"/>
    <row r="893" ht="24" customHeight="1" x14ac:dyDescent="0.25"/>
    <row r="894" ht="24" customHeight="1" x14ac:dyDescent="0.25"/>
    <row r="895" ht="24" customHeight="1" x14ac:dyDescent="0.25"/>
    <row r="896" ht="24" customHeight="1" x14ac:dyDescent="0.25"/>
    <row r="897" ht="24" customHeight="1" x14ac:dyDescent="0.25"/>
    <row r="898" ht="24" customHeight="1" x14ac:dyDescent="0.25"/>
    <row r="899" ht="24" customHeight="1" x14ac:dyDescent="0.25"/>
    <row r="900" ht="24" customHeight="1" x14ac:dyDescent="0.25"/>
    <row r="901" ht="24" customHeight="1" x14ac:dyDescent="0.25"/>
    <row r="902" ht="24" customHeight="1" x14ac:dyDescent="0.25"/>
    <row r="903" ht="24" customHeight="1" x14ac:dyDescent="0.25"/>
    <row r="904" ht="24" customHeight="1" x14ac:dyDescent="0.25"/>
    <row r="905" ht="24" customHeight="1" x14ac:dyDescent="0.25"/>
    <row r="906" ht="24" customHeight="1" x14ac:dyDescent="0.25"/>
    <row r="907" ht="24" customHeight="1" x14ac:dyDescent="0.25"/>
    <row r="908" ht="24" customHeight="1" x14ac:dyDescent="0.25"/>
    <row r="909" ht="24" customHeight="1" x14ac:dyDescent="0.25"/>
    <row r="910" ht="24" customHeight="1" x14ac:dyDescent="0.25"/>
    <row r="911" ht="24" customHeight="1" x14ac:dyDescent="0.25"/>
    <row r="912" ht="24" customHeight="1" x14ac:dyDescent="0.25"/>
    <row r="913" ht="24" customHeight="1" x14ac:dyDescent="0.25"/>
    <row r="914" ht="24" customHeight="1" x14ac:dyDescent="0.25"/>
    <row r="915" ht="24" customHeight="1" x14ac:dyDescent="0.25"/>
    <row r="916" ht="24" customHeight="1" x14ac:dyDescent="0.25"/>
    <row r="917" ht="24" customHeight="1" x14ac:dyDescent="0.25"/>
    <row r="918" ht="24" customHeight="1" x14ac:dyDescent="0.25"/>
    <row r="919" ht="24" customHeight="1" x14ac:dyDescent="0.25"/>
    <row r="920" ht="24" customHeight="1" x14ac:dyDescent="0.25"/>
    <row r="921" ht="24" customHeight="1" x14ac:dyDescent="0.25"/>
    <row r="922" ht="24" customHeight="1" x14ac:dyDescent="0.25"/>
    <row r="923" ht="24" customHeight="1" x14ac:dyDescent="0.25"/>
    <row r="924" ht="24" customHeight="1" x14ac:dyDescent="0.25"/>
    <row r="925" ht="24" customHeight="1" x14ac:dyDescent="0.25"/>
    <row r="926" ht="24" customHeight="1" x14ac:dyDescent="0.25"/>
    <row r="927" ht="24" customHeight="1" x14ac:dyDescent="0.25"/>
    <row r="928" ht="24" customHeight="1" x14ac:dyDescent="0.25"/>
    <row r="929" ht="24" customHeight="1" x14ac:dyDescent="0.25"/>
    <row r="930" ht="24" customHeight="1" x14ac:dyDescent="0.25"/>
    <row r="931" ht="24" customHeight="1" x14ac:dyDescent="0.25"/>
    <row r="932" ht="24" customHeight="1" x14ac:dyDescent="0.25"/>
    <row r="933" ht="24" customHeight="1" x14ac:dyDescent="0.25"/>
    <row r="934" ht="24" customHeight="1" x14ac:dyDescent="0.25"/>
    <row r="935" ht="24" customHeight="1" x14ac:dyDescent="0.25"/>
    <row r="936" ht="24" customHeight="1" x14ac:dyDescent="0.25"/>
    <row r="937" ht="24" customHeight="1" x14ac:dyDescent="0.25"/>
    <row r="938" ht="24" customHeight="1" x14ac:dyDescent="0.25"/>
    <row r="939" ht="24" customHeight="1" x14ac:dyDescent="0.25"/>
    <row r="940" ht="24" customHeight="1" x14ac:dyDescent="0.25"/>
    <row r="941" ht="24" customHeight="1" x14ac:dyDescent="0.25"/>
    <row r="942" ht="24" customHeight="1" x14ac:dyDescent="0.25"/>
    <row r="943" ht="24" customHeight="1" x14ac:dyDescent="0.25"/>
    <row r="944" ht="24" customHeight="1" x14ac:dyDescent="0.25"/>
    <row r="945" ht="24" customHeight="1" x14ac:dyDescent="0.25"/>
    <row r="946" ht="24" customHeight="1" x14ac:dyDescent="0.25"/>
    <row r="947" ht="24" customHeight="1" x14ac:dyDescent="0.25"/>
    <row r="948" ht="24" customHeight="1" x14ac:dyDescent="0.25"/>
    <row r="949" ht="24" customHeight="1" x14ac:dyDescent="0.25"/>
    <row r="950" ht="24" customHeight="1" x14ac:dyDescent="0.25"/>
    <row r="951" ht="24" customHeight="1" x14ac:dyDescent="0.25"/>
    <row r="952" ht="24" customHeight="1" x14ac:dyDescent="0.25"/>
    <row r="953" ht="24" customHeight="1" x14ac:dyDescent="0.25"/>
    <row r="954" ht="24" customHeight="1" x14ac:dyDescent="0.25"/>
    <row r="955" ht="24" customHeight="1" x14ac:dyDescent="0.25"/>
    <row r="956" ht="24" customHeight="1" x14ac:dyDescent="0.25"/>
    <row r="957" ht="24" customHeight="1" x14ac:dyDescent="0.25"/>
    <row r="958" ht="24" customHeight="1" x14ac:dyDescent="0.25"/>
    <row r="959" ht="24" customHeight="1" x14ac:dyDescent="0.25"/>
    <row r="960" ht="24" customHeight="1" x14ac:dyDescent="0.25"/>
    <row r="961" ht="24" customHeight="1" x14ac:dyDescent="0.25"/>
    <row r="962" ht="24" customHeight="1" x14ac:dyDescent="0.25"/>
    <row r="963" ht="24" customHeight="1" x14ac:dyDescent="0.25"/>
    <row r="964" ht="24" customHeight="1" x14ac:dyDescent="0.25"/>
    <row r="965" ht="24" customHeight="1" x14ac:dyDescent="0.25"/>
    <row r="966" ht="24" customHeight="1" x14ac:dyDescent="0.25"/>
    <row r="967" ht="24" customHeight="1" x14ac:dyDescent="0.25"/>
    <row r="968" ht="24" customHeight="1" x14ac:dyDescent="0.25"/>
    <row r="969" ht="24" customHeight="1" x14ac:dyDescent="0.25"/>
    <row r="970" ht="24" customHeight="1" x14ac:dyDescent="0.25"/>
    <row r="971" ht="24" customHeight="1" x14ac:dyDescent="0.25"/>
    <row r="972" ht="24" customHeight="1" x14ac:dyDescent="0.25"/>
    <row r="973" ht="24" customHeight="1" x14ac:dyDescent="0.25"/>
    <row r="974" ht="24" customHeight="1" x14ac:dyDescent="0.25"/>
    <row r="975" ht="24" customHeight="1" x14ac:dyDescent="0.25"/>
    <row r="976" ht="24" customHeight="1" x14ac:dyDescent="0.25"/>
    <row r="977" ht="24" customHeight="1" x14ac:dyDescent="0.25"/>
    <row r="978" ht="24" customHeight="1" x14ac:dyDescent="0.25"/>
    <row r="979" ht="24" customHeight="1" x14ac:dyDescent="0.25"/>
    <row r="980" ht="24" customHeight="1" x14ac:dyDescent="0.25"/>
    <row r="981" ht="24" customHeight="1" x14ac:dyDescent="0.25"/>
    <row r="982" ht="24" customHeight="1" x14ac:dyDescent="0.25"/>
    <row r="983" ht="24" customHeight="1" x14ac:dyDescent="0.25"/>
    <row r="984" ht="24" customHeight="1" x14ac:dyDescent="0.25"/>
    <row r="985" ht="24" customHeight="1" x14ac:dyDescent="0.25"/>
    <row r="986" ht="24" customHeight="1" x14ac:dyDescent="0.25"/>
    <row r="987" ht="24" customHeight="1" x14ac:dyDescent="0.25"/>
    <row r="988" ht="24" customHeight="1" x14ac:dyDescent="0.25"/>
    <row r="989" ht="24" customHeight="1" x14ac:dyDescent="0.25"/>
    <row r="990" ht="24" customHeight="1" x14ac:dyDescent="0.25"/>
    <row r="991" ht="24" customHeight="1" x14ac:dyDescent="0.25"/>
    <row r="992" ht="24" customHeight="1" x14ac:dyDescent="0.25"/>
    <row r="993" ht="24" customHeight="1" x14ac:dyDescent="0.25"/>
    <row r="994" ht="24" customHeight="1" x14ac:dyDescent="0.25"/>
    <row r="995" ht="24" customHeight="1" x14ac:dyDescent="0.25"/>
    <row r="996" ht="24" customHeight="1" x14ac:dyDescent="0.25"/>
    <row r="997" ht="24" customHeight="1" x14ac:dyDescent="0.25"/>
    <row r="998" ht="24" customHeight="1" x14ac:dyDescent="0.25"/>
    <row r="999" ht="24" customHeight="1" x14ac:dyDescent="0.25"/>
    <row r="1000" ht="24" customHeight="1" x14ac:dyDescent="0.25"/>
  </sheetData>
  <autoFilter ref="A1:O329" xr:uid="{00000000-0009-0000-0000-000000000000}"/>
  <dataValidations count="1">
    <dataValidation type="list" allowBlank="1" showInputMessage="1" showErrorMessage="1" prompt="Select checkbox value - Choose either unchecked or checked from the dropdown." sqref="I2:M329" xr:uid="{00000000-0002-0000-0000-000000000000}">
      <formula1>"☐,☑"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 x14ac:dyDescent="0.25"/>
  <cols>
    <col min="1" max="1" width="25.28515625" customWidth="1"/>
    <col min="2" max="3" width="14" customWidth="1"/>
    <col min="4" max="4" width="18" customWidth="1"/>
    <col min="5" max="5" width="16" customWidth="1"/>
    <col min="6" max="26" width="9" customWidth="1"/>
  </cols>
  <sheetData>
    <row r="1" spans="1:5" ht="14.25" customHeight="1" x14ac:dyDescent="0.25">
      <c r="A1" s="10" t="s">
        <v>1394</v>
      </c>
      <c r="B1" s="10" t="s">
        <v>1395</v>
      </c>
      <c r="C1" s="10" t="s">
        <v>1396</v>
      </c>
      <c r="D1" s="10" t="s">
        <v>1397</v>
      </c>
      <c r="E1" s="10" t="s">
        <v>1398</v>
      </c>
    </row>
    <row r="2" spans="1:5" ht="14.25" customHeight="1" x14ac:dyDescent="0.25">
      <c r="A2" s="11" t="s">
        <v>8</v>
      </c>
      <c r="B2" s="11">
        <f>COUNTIF('UAT Checklist'!I:I,"☑")</f>
        <v>138</v>
      </c>
      <c r="C2" s="11">
        <f>COUNTIF('UAT Checklist'!I:I,"☐")</f>
        <v>190</v>
      </c>
      <c r="D2" s="11">
        <v>328</v>
      </c>
      <c r="E2" s="12">
        <f t="shared" ref="E2:E5" si="0">IF(D2=0,0,B2/D2)</f>
        <v>0.42073170731707316</v>
      </c>
    </row>
    <row r="3" spans="1:5" ht="14.25" customHeight="1" x14ac:dyDescent="0.25">
      <c r="A3" s="11" t="s">
        <v>9</v>
      </c>
      <c r="B3" s="11">
        <f>COUNTIF('UAT Checklist'!J:J,"☑")</f>
        <v>0</v>
      </c>
      <c r="C3" s="11">
        <f>COUNTIF('UAT Checklist'!J:J,"☐")</f>
        <v>328</v>
      </c>
      <c r="D3" s="11">
        <v>328</v>
      </c>
      <c r="E3" s="12">
        <f t="shared" si="0"/>
        <v>0</v>
      </c>
    </row>
    <row r="4" spans="1:5" ht="14.25" customHeight="1" x14ac:dyDescent="0.25">
      <c r="A4" s="11" t="s">
        <v>10</v>
      </c>
      <c r="B4" s="11">
        <f>COUNTIF('UAT Checklist'!K:K,"☑")</f>
        <v>8</v>
      </c>
      <c r="C4" s="11">
        <f>COUNTIF('UAT Checklist'!K:K,"☐")</f>
        <v>320</v>
      </c>
      <c r="D4" s="11">
        <v>328</v>
      </c>
      <c r="E4" s="12">
        <f t="shared" si="0"/>
        <v>2.4390243902439025E-2</v>
      </c>
    </row>
    <row r="5" spans="1:5" ht="14.25" customHeight="1" x14ac:dyDescent="0.25">
      <c r="A5" s="11" t="s">
        <v>11</v>
      </c>
      <c r="B5" s="11">
        <f>COUNTIF('UAT Checklist'!L:L,"☑")</f>
        <v>0</v>
      </c>
      <c r="C5" s="11">
        <f>COUNTIF('UAT Checklist'!L:L,"☐")</f>
        <v>328</v>
      </c>
      <c r="D5" s="11">
        <v>328</v>
      </c>
      <c r="E5" s="12">
        <f t="shared" si="0"/>
        <v>0</v>
      </c>
    </row>
    <row r="6" spans="1:5" ht="14.25" customHeight="1" x14ac:dyDescent="0.25"/>
    <row r="7" spans="1:5" ht="14.25" customHeight="1" x14ac:dyDescent="0.25">
      <c r="A7" s="11" t="s">
        <v>1399</v>
      </c>
      <c r="B7" s="11">
        <f>COUNTIF('UAT Checklist'!N:N,"Complete")</f>
        <v>0</v>
      </c>
    </row>
    <row r="8" spans="1:5" ht="14.25" customHeight="1" x14ac:dyDescent="0.25">
      <c r="A8" s="11" t="s">
        <v>1400</v>
      </c>
      <c r="B8" s="11">
        <f>COUNTIF('UAT Checklist'!N:N,"Pending")</f>
        <v>189</v>
      </c>
    </row>
    <row r="9" spans="1:5" ht="14.25" customHeight="1" x14ac:dyDescent="0.25">
      <c r="A9" s="11" t="s">
        <v>1401</v>
      </c>
      <c r="B9" s="11">
        <f>COUNTIF('UAT Checklist'!N:N,"In Progress")</f>
        <v>139</v>
      </c>
    </row>
    <row r="10" spans="1:5" ht="14.25" customHeight="1" x14ac:dyDescent="0.25">
      <c r="A10" s="11" t="s">
        <v>1402</v>
      </c>
      <c r="B10" s="11" t="s">
        <v>1403</v>
      </c>
    </row>
    <row r="11" spans="1:5" ht="14.25" customHeight="1" x14ac:dyDescent="0.25">
      <c r="A11" s="11" t="s">
        <v>1404</v>
      </c>
      <c r="B11" s="11" t="s">
        <v>1405</v>
      </c>
    </row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 Checklist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Shinde</dc:creator>
  <cp:lastModifiedBy>Rushikesh Shinde</cp:lastModifiedBy>
  <dcterms:created xsi:type="dcterms:W3CDTF">2026-06-01T09:25:00Z</dcterms:created>
  <dcterms:modified xsi:type="dcterms:W3CDTF">2026-06-12T06:59:59Z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3CCACE077CF249D9A8283DA09AF40096_12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